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álculos Sell Out\2024\RUBI\04.Abril\HA\"/>
    </mc:Choice>
  </mc:AlternateContent>
  <bookViews>
    <workbookView xWindow="240" yWindow="60" windowWidth="12300" windowHeight="7305"/>
  </bookViews>
  <sheets>
    <sheet name="RESUMEN" sheetId="11" r:id="rId1"/>
    <sheet name="Sheet1" sheetId="10" state="hidden" r:id="rId2"/>
    <sheet name="CALCULATE (2)" sheetId="9" r:id="rId3"/>
    <sheet name="CALCULATE" sheetId="1" state="hidden" r:id="rId4"/>
    <sheet name="SELLOUT" sheetId="2" r:id="rId5"/>
    <sheet name="SELLIN" sheetId="3" r:id="rId6"/>
    <sheet name="MIX_DETAIL" sheetId="4" r:id="rId7"/>
    <sheet name="SPMS" sheetId="5" r:id="rId8"/>
    <sheet name="CLIENTE" sheetId="6" r:id="rId9"/>
    <sheet name="TP" sheetId="7" r:id="rId10"/>
    <sheet name="CORREO" sheetId="8" r:id="rId11"/>
  </sheets>
  <definedNames>
    <definedName name="_xlnm._FilterDatabase" localSheetId="3" hidden="1">CALCULATE!$A$1:$BK$11</definedName>
    <definedName name="_xlnm._FilterDatabase" localSheetId="2" hidden="1">'CALCULATE (2)'!$A$1:$BK$11</definedName>
    <definedName name="_xlnm._FilterDatabase" localSheetId="4" hidden="1">SELLOUT!$A$1:$AE$63</definedName>
  </definedNames>
  <calcPr calcId="152511"/>
  <pivotCaches>
    <pivotCache cacheId="10" r:id="rId12"/>
  </pivotCaches>
</workbook>
</file>

<file path=xl/calcChain.xml><?xml version="1.0" encoding="utf-8"?>
<calcChain xmlns="http://schemas.openxmlformats.org/spreadsheetml/2006/main">
  <c r="H16" i="11" l="1"/>
  <c r="H5" i="11" l="1"/>
  <c r="H6" i="11"/>
  <c r="H7" i="11"/>
  <c r="H8" i="11"/>
  <c r="H9" i="11"/>
  <c r="G14" i="11"/>
  <c r="H14" i="11" l="1"/>
  <c r="H17" i="11" s="1"/>
  <c r="H15" i="11"/>
  <c r="H10" i="11"/>
  <c r="I16" i="11"/>
  <c r="J16" i="11" s="1"/>
  <c r="K16" i="11" s="1"/>
  <c r="I6" i="11" l="1"/>
  <c r="J6" i="11" s="1"/>
  <c r="K6" i="11" s="1"/>
  <c r="I5" i="11" l="1"/>
  <c r="I9" i="11"/>
  <c r="J9" i="11" s="1"/>
  <c r="K9" i="11" s="1"/>
  <c r="I8" i="11"/>
  <c r="J8" i="11" l="1"/>
  <c r="K8" i="11" s="1"/>
  <c r="I15" i="11"/>
  <c r="J15" i="11" s="1"/>
  <c r="K15" i="11" s="1"/>
  <c r="I7" i="11"/>
  <c r="J7" i="11" s="1"/>
  <c r="K7" i="11" s="1"/>
  <c r="J5" i="11"/>
  <c r="I10" i="11" l="1"/>
  <c r="I14" i="11"/>
  <c r="J10" i="11"/>
  <c r="K5" i="11"/>
  <c r="J14" i="11" l="1"/>
  <c r="I17" i="11"/>
  <c r="J17" i="11" l="1"/>
  <c r="K14" i="11"/>
</calcChain>
</file>

<file path=xl/sharedStrings.xml><?xml version="1.0" encoding="utf-8"?>
<sst xmlns="http://schemas.openxmlformats.org/spreadsheetml/2006/main" count="3292" uniqueCount="502">
  <si>
    <t>Seq</t>
  </si>
  <si>
    <t>Company Name</t>
  </si>
  <si>
    <t>Division Name</t>
  </si>
  <si>
    <t>Promotion No</t>
  </si>
  <si>
    <t>Promotion Line No</t>
  </si>
  <si>
    <t>Fecha Inicio</t>
  </si>
  <si>
    <t>Fecha Fin</t>
  </si>
  <si>
    <t>Customer Code</t>
  </si>
  <si>
    <t>Modelo</t>
  </si>
  <si>
    <t>PVP</t>
  </si>
  <si>
    <t>Costo Sellin</t>
  </si>
  <si>
    <t>* Precio Promotion</t>
  </si>
  <si>
    <t>* Nuevo Margen</t>
  </si>
  <si>
    <t>* Costo Promocion</t>
  </si>
  <si>
    <t>Diferencia</t>
  </si>
  <si>
    <t>Unidades</t>
  </si>
  <si>
    <t>* Regalo</t>
  </si>
  <si>
    <t>* Bundle Cost</t>
  </si>
  <si>
    <t>* Bundle Cost Rate</t>
  </si>
  <si>
    <t>Bundle Diff</t>
  </si>
  <si>
    <t>Bundle Unidades</t>
  </si>
  <si>
    <t>Monto Total (Book)</t>
  </si>
  <si>
    <t>Monto Total</t>
  </si>
  <si>
    <t>Mix Adjust Amount</t>
  </si>
  <si>
    <t>* NOTE *</t>
  </si>
  <si>
    <t>FCST UNIT AMT DIFF</t>
  </si>
  <si>
    <t>FCST QTY DIFF</t>
  </si>
  <si>
    <t>FCST AMT DIFF</t>
  </si>
  <si>
    <t>* ALL / SHOP / WEB</t>
  </si>
  <si>
    <t>ADDITIONAL_COND</t>
  </si>
  <si>
    <t>Priority</t>
  </si>
  <si>
    <t>Ref Line</t>
  </si>
  <si>
    <t>Stock</t>
  </si>
  <si>
    <t>Sellin in Promo</t>
  </si>
  <si>
    <t>Sellout Qty</t>
  </si>
  <si>
    <t>Return Qty</t>
  </si>
  <si>
    <t>Promo Applied Qty</t>
  </si>
  <si>
    <t>Customer Qty</t>
  </si>
  <si>
    <t>* Limit Qty</t>
  </si>
  <si>
    <t>Control Over Stock</t>
  </si>
  <si>
    <t>Control Not Applied</t>
  </si>
  <si>
    <t>Control Cust Request</t>
  </si>
  <si>
    <t>Control Below Cost</t>
  </si>
  <si>
    <t>Control Limit</t>
  </si>
  <si>
    <t>Bundle Seq</t>
  </si>
  <si>
    <t>Bundle Priority</t>
  </si>
  <si>
    <t>Bundle Stock</t>
  </si>
  <si>
    <t>Bundle Sellout</t>
  </si>
  <si>
    <t>Same Model</t>
  </si>
  <si>
    <t>Promotion Line Status Code</t>
  </si>
  <si>
    <t>FCST Unit Amt</t>
  </si>
  <si>
    <t>FCST Qty</t>
  </si>
  <si>
    <t>FCST Amt</t>
  </si>
  <si>
    <t>FCST Amt(Book)</t>
  </si>
  <si>
    <t>Actual Accu Qty</t>
  </si>
  <si>
    <t>Actual Accu Amt</t>
  </si>
  <si>
    <t>Customer Name</t>
  </si>
  <si>
    <t>Promotion Name</t>
  </si>
  <si>
    <t>Model Code</t>
  </si>
  <si>
    <t>Currency</t>
  </si>
  <si>
    <t>TC</t>
  </si>
  <si>
    <t>Line Remark</t>
  </si>
  <si>
    <t>Concate</t>
  </si>
  <si>
    <t>H&amp;A Company</t>
  </si>
  <si>
    <t>Cooking</t>
  </si>
  <si>
    <t>PR-NTSO-20240405-0031</t>
  </si>
  <si>
    <t>20240410</t>
  </si>
  <si>
    <t>20240430</t>
  </si>
  <si>
    <t>PE000820001B</t>
  </si>
  <si>
    <t>RSG314M.FSTGLPR</t>
  </si>
  <si>
    <t>ALL</t>
  </si>
  <si>
    <t>APPROVED</t>
  </si>
  <si>
    <t>IMPORTACIONES RUBI S.A.</t>
  </si>
  <si>
    <t>2024 - RUBI - Cooking - 20240410 AL 20240430</t>
  </si>
  <si>
    <t>PEN</t>
  </si>
  <si>
    <t>1599_10__8</t>
  </si>
  <si>
    <t>PR-NTSO-20240405-0031RSG314M.FSTGLPR</t>
  </si>
  <si>
    <t>PR-NTSO-20240415-0011</t>
  </si>
  <si>
    <t>20240420</t>
  </si>
  <si>
    <t>MS2596DIR.BBKGLPR</t>
  </si>
  <si>
    <t>2024 - RUBI - Cooking - 20240420 AL 20240430</t>
  </si>
  <si>
    <t>379_10__</t>
  </si>
  <si>
    <t>PR-NTSO-20240415-0011MS2596DIR.BBKGLPR</t>
  </si>
  <si>
    <t>PR-NTSO-20240416-0005</t>
  </si>
  <si>
    <t>20240422</t>
  </si>
  <si>
    <t>MS4296DIR.BBKGLPR</t>
  </si>
  <si>
    <t>2024 - RUBI - Cooking - 20240422 AL 20240430</t>
  </si>
  <si>
    <t>539_10__</t>
  </si>
  <si>
    <t>PR-NTSO-20240416-0005MS4296DIR.BBKGLPR</t>
  </si>
  <si>
    <t>1599_10__</t>
  </si>
  <si>
    <t>PR-NTSO-20240416-0005RSG314M.FSTGLPR</t>
  </si>
  <si>
    <t>W/M</t>
  </si>
  <si>
    <t>PR-NTSO-20240327-0059</t>
  </si>
  <si>
    <t>20240403</t>
  </si>
  <si>
    <t>WD12BVC2S6C.ABLGLGP</t>
  </si>
  <si>
    <t>2024 - RUBI - W/M - 20240403 AL 20240430</t>
  </si>
  <si>
    <t>2099_10__</t>
  </si>
  <si>
    <t>PR-NTSO-20240327-0059WD12BVC2S6C.ABLGLGP</t>
  </si>
  <si>
    <t>WD14BVC2S6C.ABLGLGP</t>
  </si>
  <si>
    <t>2799_10__</t>
  </si>
  <si>
    <t>PR-NTSO-20240327-0059WD14BVC2S6C.ABLGLGP</t>
  </si>
  <si>
    <t>WD15EG2S.AESGLGP</t>
  </si>
  <si>
    <t>2949_10__</t>
  </si>
  <si>
    <t>PR-NTSO-20240327-0059WD15EG2S.AESGLGP</t>
  </si>
  <si>
    <t>WT19BPB.ABMGLGP</t>
  </si>
  <si>
    <t>1399_5__</t>
  </si>
  <si>
    <t>PR-NTSO-20240327-0059WT19BPB.ABMGLGP</t>
  </si>
  <si>
    <t>PR-NTSO-20240416-0006</t>
  </si>
  <si>
    <t>WT13BPBK.ABMGLGP</t>
  </si>
  <si>
    <t>2024 - RUBI - W/M - 20240422 AL 20240430</t>
  </si>
  <si>
    <t>1199_10__</t>
  </si>
  <si>
    <t>PR-NTSO-20240416-0006WT13BPBK.ABMGLGP</t>
  </si>
  <si>
    <t>WT17BV6.ABMGLGP</t>
  </si>
  <si>
    <t>1449_8__</t>
  </si>
  <si>
    <t>PR-NTSO-20240416-0006WT17BV6.ABMGLGP</t>
  </si>
  <si>
    <t>CUSTOMER</t>
  </si>
  <si>
    <t>ACCT_GTM</t>
  </si>
  <si>
    <t>CUSTOMER_MODEL</t>
  </si>
  <si>
    <t>MODEL_CODE</t>
  </si>
  <si>
    <t>TXN_DATE</t>
  </si>
  <si>
    <t>CUST_STORE_CODE</t>
  </si>
  <si>
    <t>CUST_STORE_NAME</t>
  </si>
  <si>
    <t>SELLOUT_UNIT</t>
  </si>
  <si>
    <t>SELLOUT_AMT</t>
  </si>
  <si>
    <t>STOCK</t>
  </si>
  <si>
    <t>TICKET</t>
  </si>
  <si>
    <t>PROMO1_PRICE</t>
  </si>
  <si>
    <t>TARGET1_FLAG</t>
  </si>
  <si>
    <t>PROMO2_PRICE</t>
  </si>
  <si>
    <t>TARGET2_FLAG</t>
  </si>
  <si>
    <t>PROMO3_PRICE</t>
  </si>
  <si>
    <t>TARGET3_FLAG</t>
  </si>
  <si>
    <t>PROMO4_PRICE</t>
  </si>
  <si>
    <t>TARGET4_FLAG</t>
  </si>
  <si>
    <t>PROMO5_PRICE</t>
  </si>
  <si>
    <t>TARGET5_FLAG</t>
  </si>
  <si>
    <t>PROMO6_PRICE</t>
  </si>
  <si>
    <t>TARGET6_FLAG</t>
  </si>
  <si>
    <t>PROMO7_PRICE</t>
  </si>
  <si>
    <t>TARGET7_FLAG</t>
  </si>
  <si>
    <t>PROMO8_PRICE</t>
  </si>
  <si>
    <t>TARGET8_FLAG</t>
  </si>
  <si>
    <t>PROMO9_PRICE</t>
  </si>
  <si>
    <t>TARGET9_FLAG</t>
  </si>
  <si>
    <t>PROMO10_PRICE</t>
  </si>
  <si>
    <t>TARGET10_FLAG</t>
  </si>
  <si>
    <t>Bill To Customer Code</t>
  </si>
  <si>
    <t>Item Name</t>
  </si>
  <si>
    <t>Sales YYYYMMDD</t>
  </si>
  <si>
    <t>Invoice NO</t>
  </si>
  <si>
    <t>⁬Week-YYYYWWW</t>
  </si>
  <si>
    <t>Transaction Currency Code</t>
  </si>
  <si>
    <t>Sales Order Qty</t>
  </si>
  <si>
    <t>Unit Selling Price</t>
  </si>
  <si>
    <t>Sales Order Amount (Tax Exclude)</t>
  </si>
  <si>
    <t>Unit Selling Price (PEN)</t>
  </si>
  <si>
    <t>CAL SEQ1</t>
  </si>
  <si>
    <t>NEW COST1</t>
  </si>
  <si>
    <t>SELLOUT1</t>
  </si>
  <si>
    <t>STOCK1</t>
  </si>
  <si>
    <t>CAL SEQ2</t>
  </si>
  <si>
    <t>NEW COST2</t>
  </si>
  <si>
    <t>SELLOUT2</t>
  </si>
  <si>
    <t>STOCK2</t>
  </si>
  <si>
    <t>CAL SEQ3</t>
  </si>
  <si>
    <t>NEW COST3</t>
  </si>
  <si>
    <t>SELLOUT3</t>
  </si>
  <si>
    <t>STOCK3</t>
  </si>
  <si>
    <t>CAL SEQ4</t>
  </si>
  <si>
    <t>NEW COST4</t>
  </si>
  <si>
    <t>SELLOUT4</t>
  </si>
  <si>
    <t>STOCK4</t>
  </si>
  <si>
    <t>CAL SEQ5</t>
  </si>
  <si>
    <t>NEW COST5</t>
  </si>
  <si>
    <t>SELLOUT5</t>
  </si>
  <si>
    <t>STOCK5</t>
  </si>
  <si>
    <t>CAL SEQ6</t>
  </si>
  <si>
    <t>NEW COST6</t>
  </si>
  <si>
    <t>SELLOUT6</t>
  </si>
  <si>
    <t>STOCK6</t>
  </si>
  <si>
    <t>CAL SEQ7</t>
  </si>
  <si>
    <t>NEW COST7</t>
  </si>
  <si>
    <t>SELLOUT7</t>
  </si>
  <si>
    <t>STOCK7</t>
  </si>
  <si>
    <t>CAL SEQ8</t>
  </si>
  <si>
    <t>NEW COST8</t>
  </si>
  <si>
    <t>SELLOUT8</t>
  </si>
  <si>
    <t>STOCK8</t>
  </si>
  <si>
    <t>CAL SEQ9</t>
  </si>
  <si>
    <t>NEW COST9</t>
  </si>
  <si>
    <t>SELLOUT9</t>
  </si>
  <si>
    <t>STOCK9</t>
  </si>
  <si>
    <t>CAL SEQ10</t>
  </si>
  <si>
    <t>NEW COST10</t>
  </si>
  <si>
    <t>SELLOUT10</t>
  </si>
  <si>
    <t>STOCK10</t>
  </si>
  <si>
    <t>Bill To Customer Name</t>
  </si>
  <si>
    <t>SO NO</t>
  </si>
  <si>
    <t>SO Type Name</t>
  </si>
  <si>
    <t>LTV</t>
  </si>
  <si>
    <t>MR23GN.AWP</t>
  </si>
  <si>
    <t>20240424</t>
  </si>
  <si>
    <t>01-F001-00272671</t>
  </si>
  <si>
    <t>2024W13</t>
  </si>
  <si>
    <t>NA</t>
  </si>
  <si>
    <t>REGULAR_OMD_PR</t>
  </si>
  <si>
    <t>20240228</t>
  </si>
  <si>
    <t>01-F001-00270000</t>
  </si>
  <si>
    <t>2024W08</t>
  </si>
  <si>
    <t>01-F001-00269999</t>
  </si>
  <si>
    <t>2024W04</t>
  </si>
  <si>
    <t>20240227</t>
  </si>
  <si>
    <t>01-F001-00269910</t>
  </si>
  <si>
    <t>20231027</t>
  </si>
  <si>
    <t>2023W43</t>
  </si>
  <si>
    <t>20230930</t>
  </si>
  <si>
    <t>2023W39</t>
  </si>
  <si>
    <t>20230929</t>
  </si>
  <si>
    <t>20230527</t>
  </si>
  <si>
    <t>01-F001-00257299</t>
  </si>
  <si>
    <t>2023W21</t>
  </si>
  <si>
    <t>20230223</t>
  </si>
  <si>
    <t>2023W02</t>
  </si>
  <si>
    <t>20230203</t>
  </si>
  <si>
    <t>2022W50</t>
  </si>
  <si>
    <t>20230131</t>
  </si>
  <si>
    <t>01-F001-00251305</t>
  </si>
  <si>
    <t>20230126</t>
  </si>
  <si>
    <t>20221222</t>
  </si>
  <si>
    <t>01-F001-00249968</t>
  </si>
  <si>
    <t>20220408</t>
  </si>
  <si>
    <t>2022W12</t>
  </si>
  <si>
    <t>2022W14</t>
  </si>
  <si>
    <t>GOODSET_RETURN_OMD_PR</t>
  </si>
  <si>
    <t>20220120</t>
  </si>
  <si>
    <t>2022W02</t>
  </si>
  <si>
    <t>20211127</t>
  </si>
  <si>
    <t>2021W45</t>
  </si>
  <si>
    <t>20211126</t>
  </si>
  <si>
    <t>2021W47</t>
  </si>
  <si>
    <t>01-F001-00230214</t>
  </si>
  <si>
    <t>2021W43</t>
  </si>
  <si>
    <t>01-F001-00230196</t>
  </si>
  <si>
    <t>2021W44</t>
  </si>
  <si>
    <t>20210925</t>
  </si>
  <si>
    <t>01-F001-00226125</t>
  </si>
  <si>
    <t>2021W38</t>
  </si>
  <si>
    <t>20210311</t>
  </si>
  <si>
    <t>2021W10</t>
  </si>
  <si>
    <t>20210219</t>
  </si>
  <si>
    <t>2021W02</t>
  </si>
  <si>
    <t>20210218</t>
  </si>
  <si>
    <t>20210116</t>
  </si>
  <si>
    <t>01-F001-00205073</t>
  </si>
  <si>
    <t>2020W46</t>
  </si>
  <si>
    <t>01-F001-00205058</t>
  </si>
  <si>
    <t>20230727</t>
  </si>
  <si>
    <t>01-F001-00259861</t>
  </si>
  <si>
    <t>20230228</t>
  </si>
  <si>
    <t>01-F001-00252838</t>
  </si>
  <si>
    <t>2023W08</t>
  </si>
  <si>
    <t>20230130</t>
  </si>
  <si>
    <t>01-F001-00251245</t>
  </si>
  <si>
    <t>20220930</t>
  </si>
  <si>
    <t>2022W39</t>
  </si>
  <si>
    <t>20211217</t>
  </si>
  <si>
    <t>2021W50</t>
  </si>
  <si>
    <t>01-F001-00230500</t>
  </si>
  <si>
    <t>01-F001-00230210</t>
  </si>
  <si>
    <t>20211113</t>
  </si>
  <si>
    <t>01-F001-00229116</t>
  </si>
  <si>
    <t>20211022</t>
  </si>
  <si>
    <t>01-F001-00227810</t>
  </si>
  <si>
    <t>2021W36</t>
  </si>
  <si>
    <t>01-F001-00226131</t>
  </si>
  <si>
    <t>20210816</t>
  </si>
  <si>
    <t>2021W31</t>
  </si>
  <si>
    <t>20210331</t>
  </si>
  <si>
    <t>20210326</t>
  </si>
  <si>
    <t>2021W05</t>
  </si>
  <si>
    <t>01-F001-00207876</t>
  </si>
  <si>
    <t>20210115</t>
  </si>
  <si>
    <t>2020W50</t>
  </si>
  <si>
    <t>20221130</t>
  </si>
  <si>
    <t>2022W48</t>
  </si>
  <si>
    <t>20210730</t>
  </si>
  <si>
    <t>01-F001-00222468</t>
  </si>
  <si>
    <t>2021W29</t>
  </si>
  <si>
    <t>20210410</t>
  </si>
  <si>
    <t>20210128</t>
  </si>
  <si>
    <t>01-F001-00206395</t>
  </si>
  <si>
    <t>2021W01</t>
  </si>
  <si>
    <t>20210111</t>
  </si>
  <si>
    <t>20221031</t>
  </si>
  <si>
    <t>2022W43</t>
  </si>
  <si>
    <t>20220630</t>
  </si>
  <si>
    <t>01-F001-00242605</t>
  </si>
  <si>
    <t>2022W26</t>
  </si>
  <si>
    <t>01-F001-00242598</t>
  </si>
  <si>
    <t>20220615</t>
  </si>
  <si>
    <t>01-F001-00241439</t>
  </si>
  <si>
    <t>2022W22</t>
  </si>
  <si>
    <t>20211222</t>
  </si>
  <si>
    <t>20211119</t>
  </si>
  <si>
    <t>01-F001-00229466</t>
  </si>
  <si>
    <t>20230927</t>
  </si>
  <si>
    <t>01-F001-00262803</t>
  </si>
  <si>
    <t>20220521</t>
  </si>
  <si>
    <t>2022W17</t>
  </si>
  <si>
    <t>20220505</t>
  </si>
  <si>
    <t>20220429</t>
  </si>
  <si>
    <t>20211009</t>
  </si>
  <si>
    <t>2021W40</t>
  </si>
  <si>
    <t>20210625</t>
  </si>
  <si>
    <t>2021W24</t>
  </si>
  <si>
    <t>01-F001-00242602</t>
  </si>
  <si>
    <t>20210624</t>
  </si>
  <si>
    <t>01-F001-00219586</t>
  </si>
  <si>
    <t>20240125</t>
  </si>
  <si>
    <t>01-F001-00268198</t>
  </si>
  <si>
    <t>01-F001-00268186</t>
  </si>
  <si>
    <t>20231207</t>
  </si>
  <si>
    <t>2023W48</t>
  </si>
  <si>
    <t>2024W09</t>
  </si>
  <si>
    <t>01-F001-00269912</t>
  </si>
  <si>
    <t>01-F001-00269908</t>
  </si>
  <si>
    <t>01-F001-00269907</t>
  </si>
  <si>
    <t>01-F001-00269906</t>
  </si>
  <si>
    <t>01-F001-00269905</t>
  </si>
  <si>
    <t>01-F001-00269904</t>
  </si>
  <si>
    <t>01-F001-00268194</t>
  </si>
  <si>
    <t>20230524</t>
  </si>
  <si>
    <t>2023W20</t>
  </si>
  <si>
    <t>01-F001-00268196</t>
  </si>
  <si>
    <t>20230315</t>
  </si>
  <si>
    <t>20230309</t>
  </si>
  <si>
    <t>01-F001-00252781</t>
  </si>
  <si>
    <t>20230225</t>
  </si>
  <si>
    <t>01-F001-00252571</t>
  </si>
  <si>
    <t>MODEL</t>
  </si>
  <si>
    <t>LINE SEQ</t>
  </si>
  <si>
    <t>LIQ START DATE</t>
  </si>
  <si>
    <t>LIQ END DATE</t>
  </si>
  <si>
    <t>LIQ QTY</t>
  </si>
  <si>
    <t>LIQ COST</t>
  </si>
  <si>
    <t>LIQ NEW COST</t>
  </si>
  <si>
    <t>DIFF</t>
  </si>
  <si>
    <t>REF LINE SEQ</t>
  </si>
  <si>
    <t>REF START DATE</t>
  </si>
  <si>
    <t>REF END DATE</t>
  </si>
  <si>
    <t>REF LIQ QTY</t>
  </si>
  <si>
    <t>REF COST</t>
  </si>
  <si>
    <t>REF NEW COST</t>
  </si>
  <si>
    <t>REF DIFF</t>
  </si>
  <si>
    <t>ADJ START DATE</t>
  </si>
  <si>
    <t>ADJ END DATE</t>
  </si>
  <si>
    <t>ADJ LIQ QTY</t>
  </si>
  <si>
    <t>CUSTOMER QTY</t>
  </si>
  <si>
    <t>ADJ COST</t>
  </si>
  <si>
    <t>ADJ NEW COST</t>
  </si>
  <si>
    <t>ADJ DIFF</t>
  </si>
  <si>
    <t>ADJ AMOUNT</t>
  </si>
  <si>
    <t>Promotion Status Code</t>
  </si>
  <si>
    <t>Approved Date</t>
  </si>
  <si>
    <t>Promotion Start YYYYMMDD</t>
  </si>
  <si>
    <t>Promotion End YYYYMMDD</t>
  </si>
  <si>
    <t>Requestor Name</t>
  </si>
  <si>
    <t>Promotion Property</t>
  </si>
  <si>
    <t>Subsidiary Dff1</t>
  </si>
  <si>
    <t>Subsidiary Dff2</t>
  </si>
  <si>
    <t>Subsidiary Dff3</t>
  </si>
  <si>
    <t>Subsidiary Dff4</t>
  </si>
  <si>
    <t>Subsidiary Dff5</t>
  </si>
  <si>
    <t>Subsidiary Dff6</t>
  </si>
  <si>
    <t>Line No</t>
  </si>
  <si>
    <t>Budget Check Signal</t>
  </si>
  <si>
    <t>Sales PGM Reason Code</t>
  </si>
  <si>
    <t>Sales PGM Reason Name</t>
  </si>
  <si>
    <t>Sales PGM Type</t>
  </si>
  <si>
    <t>Customer Type</t>
  </si>
  <si>
    <t>Product Type</t>
  </si>
  <si>
    <t>Product Code</t>
  </si>
  <si>
    <t>Division Code</t>
  </si>
  <si>
    <t>Calculation Method</t>
  </si>
  <si>
    <t>Dc Operand</t>
  </si>
  <si>
    <t>Expected Qty</t>
  </si>
  <si>
    <t>Expected Cost</t>
  </si>
  <si>
    <t>Sales PGM Status</t>
  </si>
  <si>
    <t>Sales PGM Name</t>
  </si>
  <si>
    <t>Sales PGM NO</t>
  </si>
  <si>
    <t>Sales PGM Product Code</t>
  </si>
  <si>
    <t>Sales PGM Product Type</t>
  </si>
  <si>
    <t>Offer Dc Operand</t>
  </si>
  <si>
    <t>Offer Expected Qty</t>
  </si>
  <si>
    <t>Offer Expected Cost</t>
  </si>
  <si>
    <t>Sales PGM Approved YYYYMM</t>
  </si>
  <si>
    <t>Sales PGM Approved YYYYMMDD</t>
  </si>
  <si>
    <t>Promotion Price</t>
  </si>
  <si>
    <t>New Margin</t>
  </si>
  <si>
    <t>Bundle Model Code</t>
  </si>
  <si>
    <t>Limit Qty</t>
  </si>
  <si>
    <t>Bundle Cost Rate</t>
  </si>
  <si>
    <t>Cancel Flag</t>
  </si>
  <si>
    <t>Castillo Jose</t>
  </si>
  <si>
    <t>NTTSO</t>
  </si>
  <si>
    <t>G</t>
  </si>
  <si>
    <t>TM_Z02</t>
  </si>
  <si>
    <t>Sell out Support Rebate</t>
  </si>
  <si>
    <t>LUMPSUM</t>
  </si>
  <si>
    <t>Bill To</t>
  </si>
  <si>
    <t>Model</t>
  </si>
  <si>
    <t>DFT</t>
  </si>
  <si>
    <t>AMT</t>
  </si>
  <si>
    <t>N</t>
  </si>
  <si>
    <t>CVT</t>
  </si>
  <si>
    <t>artcod</t>
  </si>
  <si>
    <t>artnom</t>
  </si>
  <si>
    <t>artuni</t>
  </si>
  <si>
    <t>artlin</t>
  </si>
  <si>
    <t>artmar</t>
  </si>
  <si>
    <t>limsto</t>
  </si>
  <si>
    <t>limven</t>
  </si>
  <si>
    <t>mirsto</t>
  </si>
  <si>
    <t>mirven</t>
  </si>
  <si>
    <t>smisto</t>
  </si>
  <si>
    <t>smiven</t>
  </si>
  <si>
    <t>indsto</t>
  </si>
  <si>
    <t>indven</t>
  </si>
  <si>
    <t>punsto</t>
  </si>
  <si>
    <t>linsto</t>
  </si>
  <si>
    <t>calst1</t>
  </si>
  <si>
    <t>calst2</t>
  </si>
  <si>
    <t>⁬Basis Day-YYYYMMDD</t>
  </si>
  <si>
    <t>⁬from Currency Code</t>
  </si>
  <si>
    <t>⁬to Currency Code</t>
  </si>
  <si>
    <t>⁬Xrate Type Code</t>
  </si>
  <si>
    <t>⁬Xrate Type Name</t>
  </si>
  <si>
    <t>⁬Exchange Rate</t>
  </si>
  <si>
    <t>USD</t>
  </si>
  <si>
    <t>1580</t>
  </si>
  <si>
    <t>LGEPR_TTM</t>
  </si>
  <si>
    <t>20240404</t>
  </si>
  <si>
    <t>20240405</t>
  </si>
  <si>
    <t>20240406</t>
  </si>
  <si>
    <t>20240407</t>
  </si>
  <si>
    <t>20240408</t>
  </si>
  <si>
    <t>20240409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</si>
  <si>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</si>
  <si>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</si>
  <si>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</si>
  <si>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</si>
  <si>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</si>
  <si>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</si>
  <si>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</si>
  <si>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</si>
  <si>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</si>
  <si>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20240421</t>
  </si>
  <si>
    <t>20240423</t>
  </si>
  <si>
    <t>20240425</t>
  </si>
  <si>
    <t>20240426</t>
  </si>
  <si>
    <t>20240427</t>
  </si>
  <si>
    <t>20240428</t>
  </si>
  <si>
    <t>20240429</t>
  </si>
  <si>
    <t>0</t>
  </si>
  <si>
    <t>1-BASIC</t>
  </si>
  <si>
    <t>COST UPDATED BY STOCK</t>
  </si>
  <si>
    <t>2-ADDITIONAL</t>
  </si>
  <si>
    <t>1</t>
  </si>
  <si>
    <t>RUBI</t>
  </si>
  <si>
    <t>8899552560</t>
  </si>
  <si>
    <t>IMPORTACIONES RUBI LIMA</t>
  </si>
  <si>
    <t>PROMO APPLIED</t>
  </si>
  <si>
    <t>8899552602</t>
  </si>
  <si>
    <t>8899552684</t>
  </si>
  <si>
    <t>WD12BVC2S6C</t>
  </si>
  <si>
    <t>2</t>
  </si>
  <si>
    <t>IMPORTACIONES RUBI WEB</t>
  </si>
  <si>
    <t>PROMO APPLIED WEB</t>
  </si>
  <si>
    <t>WD15EG2S</t>
  </si>
  <si>
    <t>WT13BPBK</t>
  </si>
  <si>
    <t>WT17BV6</t>
  </si>
  <si>
    <t>WT19BPB</t>
  </si>
  <si>
    <t>3</t>
  </si>
  <si>
    <t>5</t>
  </si>
  <si>
    <t>6</t>
  </si>
  <si>
    <t>7</t>
  </si>
  <si>
    <t>9</t>
  </si>
  <si>
    <t>10</t>
  </si>
  <si>
    <t>8</t>
  </si>
  <si>
    <t>Grand Total</t>
  </si>
  <si>
    <t>Sum of Monto Total (Book)</t>
  </si>
  <si>
    <t>Total</t>
  </si>
  <si>
    <t>Customer
Name</t>
  </si>
  <si>
    <t>Division</t>
  </si>
  <si>
    <t>From</t>
  </si>
  <si>
    <t>To</t>
  </si>
  <si>
    <t>SPMS</t>
  </si>
  <si>
    <t xml:space="preserve">Cálculo LG </t>
  </si>
  <si>
    <t>Retorno/Exceso</t>
  </si>
  <si>
    <t>Variación</t>
  </si>
  <si>
    <t>IMPORTACIONES RUBI HA ABRIL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</si>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</sst>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##0\%"/>
    <numFmt numFmtId="165" formatCode="#,##0.000"/>
    <numFmt numFmtId="166" formatCode="yyyymmdd"/>
    <numFmt numFmtId="167" formatCode="#,##0.0000"/>
    <numFmt numFmtId="168" formatCode="yyyy/mm/dd\ hh:mm:ss"/>
    <numFmt numFmtId="169" formatCode="_ * #,##0.00_ ;_ * \-#,##0.00_ ;_ * &quot;-&quot;??_ ;_ @_ "/>
    <numFmt numFmtId="170" formatCode="_(* #,##0.00_);_(* \(#,##0.00\);_(* &quot;-&quot;??_);_(@_)"/>
  </numFmts>
  <fonts count="19" x14ac:knownFonts="1">
    <font>
      <sz val="10"/>
      <name val="Arial"/>
    </font>
    <font>
      <sz val="6"/>
      <color indexed="8"/>
      <name val="Arial"/>
    </font>
    <font>
      <b/>
      <sz val="9"/>
      <color indexed="9"/>
      <name val="Arial"/>
    </font>
    <font>
      <b/>
      <sz val="9"/>
      <color indexed="8"/>
      <name val="Arial"/>
    </font>
    <font>
      <b/>
      <sz val="9"/>
      <color indexed="10"/>
      <name val="Arial"/>
    </font>
    <font>
      <sz val="9"/>
      <color indexed="8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theme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10"/>
      <color theme="9" tint="0.39997558519241921"/>
      <name val="Calibri"/>
      <family val="2"/>
      <scheme val="minor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13"/>
        <bgColor indexed="9"/>
      </patternFill>
    </fill>
    <fill>
      <patternFill patternType="solid">
        <fgColor indexed="50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57"/>
        <bgColor indexed="9"/>
      </patternFill>
    </fill>
    <fill>
      <patternFill patternType="solid">
        <fgColor indexed="55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169" fontId="7" fillId="0" borderId="0" applyFont="0" applyFill="0" applyBorder="0" applyAlignment="0" applyProtection="0"/>
  </cellStyleXfs>
  <cellXfs count="93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" fontId="5" fillId="6" borderId="1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1" fontId="2" fillId="7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/>
    </xf>
    <xf numFmtId="166" fontId="5" fillId="2" borderId="1" xfId="0" applyNumberFormat="1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left" vertical="center" wrapText="1"/>
    </xf>
    <xf numFmtId="167" fontId="5" fillId="2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top" wrapText="1"/>
    </xf>
    <xf numFmtId="168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166" fontId="5" fillId="6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4" fontId="0" fillId="0" borderId="0" xfId="0" applyNumberFormat="1" applyAlignment="1" applyProtection="1">
      <alignment vertical="center"/>
    </xf>
    <xf numFmtId="0" fontId="0" fillId="0" borderId="0" xfId="0" pivotButton="1"/>
    <xf numFmtId="0" fontId="0" fillId="0" borderId="0" xfId="0" applyNumberFormat="1"/>
    <xf numFmtId="43" fontId="0" fillId="0" borderId="0" xfId="1" applyFont="1"/>
    <xf numFmtId="0" fontId="7" fillId="0" borderId="0" xfId="2"/>
    <xf numFmtId="0" fontId="8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7" fillId="0" borderId="0" xfId="2" applyAlignment="1">
      <alignment horizontal="left"/>
    </xf>
    <xf numFmtId="0" fontId="10" fillId="10" borderId="3" xfId="2" applyFont="1" applyFill="1" applyBorder="1" applyAlignment="1">
      <alignment horizontal="center" vertical="center"/>
    </xf>
    <xf numFmtId="0" fontId="10" fillId="10" borderId="4" xfId="2" applyFont="1" applyFill="1" applyBorder="1" applyAlignment="1">
      <alignment horizontal="left" vertical="center"/>
    </xf>
    <xf numFmtId="0" fontId="10" fillId="10" borderId="4" xfId="2" applyFont="1" applyFill="1" applyBorder="1" applyAlignment="1">
      <alignment horizontal="center" vertical="center"/>
    </xf>
    <xf numFmtId="14" fontId="10" fillId="10" borderId="4" xfId="3" applyNumberFormat="1" applyFont="1" applyFill="1" applyBorder="1" applyAlignment="1">
      <alignment horizontal="center" vertical="center"/>
    </xf>
    <xf numFmtId="169" fontId="10" fillId="10" borderId="4" xfId="3" applyFont="1" applyFill="1" applyBorder="1" applyAlignment="1">
      <alignment horizontal="left" vertical="center"/>
    </xf>
    <xf numFmtId="169" fontId="10" fillId="10" borderId="2" xfId="3" applyFont="1" applyFill="1" applyBorder="1" applyAlignment="1">
      <alignment horizontal="center" vertical="center"/>
    </xf>
    <xf numFmtId="169" fontId="10" fillId="11" borderId="2" xfId="3" applyFont="1" applyFill="1" applyBorder="1" applyAlignment="1">
      <alignment horizontal="center" vertical="center"/>
    </xf>
    <xf numFmtId="169" fontId="10" fillId="12" borderId="2" xfId="3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1" fillId="0" borderId="0" xfId="2" applyFont="1" applyFill="1" applyBorder="1" applyAlignment="1">
      <alignment horizontal="center" vertical="center"/>
    </xf>
    <xf numFmtId="14" fontId="11" fillId="0" borderId="0" xfId="2" applyNumberFormat="1" applyFont="1" applyBorder="1" applyAlignment="1">
      <alignment horizontal="center" vertical="center"/>
    </xf>
    <xf numFmtId="169" fontId="11" fillId="0" borderId="0" xfId="3" applyFont="1" applyBorder="1" applyAlignment="1">
      <alignment horizontal="center" vertical="center"/>
    </xf>
    <xf numFmtId="169" fontId="11" fillId="0" borderId="0" xfId="3" applyFont="1" applyFill="1" applyBorder="1" applyAlignment="1">
      <alignment horizontal="center" vertical="center"/>
    </xf>
    <xf numFmtId="169" fontId="12" fillId="0" borderId="0" xfId="2" applyNumberFormat="1" applyFont="1" applyBorder="1"/>
    <xf numFmtId="0" fontId="12" fillId="0" borderId="6" xfId="2" applyFont="1" applyBorder="1" applyAlignment="1">
      <alignment horizont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left" vertical="center"/>
    </xf>
    <xf numFmtId="0" fontId="11" fillId="0" borderId="8" xfId="2" applyFont="1" applyFill="1" applyBorder="1" applyAlignment="1">
      <alignment horizontal="center" vertical="center"/>
    </xf>
    <xf numFmtId="14" fontId="11" fillId="0" borderId="8" xfId="2" applyNumberFormat="1" applyFont="1" applyBorder="1" applyAlignment="1">
      <alignment horizontal="center" vertical="center"/>
    </xf>
    <xf numFmtId="169" fontId="11" fillId="0" borderId="8" xfId="3" applyFont="1" applyBorder="1" applyAlignment="1">
      <alignment horizontal="center" vertical="center"/>
    </xf>
    <xf numFmtId="169" fontId="11" fillId="0" borderId="8" xfId="3" applyFont="1" applyFill="1" applyBorder="1" applyAlignment="1">
      <alignment horizontal="center" vertical="center"/>
    </xf>
    <xf numFmtId="169" fontId="12" fillId="0" borderId="8" xfId="2" applyNumberFormat="1" applyFont="1" applyBorder="1"/>
    <xf numFmtId="0" fontId="12" fillId="0" borderId="9" xfId="2" applyFont="1" applyBorder="1" applyAlignment="1">
      <alignment horizontal="center"/>
    </xf>
    <xf numFmtId="0" fontId="11" fillId="0" borderId="0" xfId="2" applyFont="1" applyBorder="1" applyAlignment="1">
      <alignment horizontal="center" vertical="center"/>
    </xf>
    <xf numFmtId="0" fontId="13" fillId="13" borderId="0" xfId="2" applyFont="1" applyFill="1" applyAlignment="1">
      <alignment horizontal="left" vertical="center"/>
    </xf>
    <xf numFmtId="170" fontId="14" fillId="13" borderId="0" xfId="2" applyNumberFormat="1" applyFont="1" applyFill="1"/>
    <xf numFmtId="4" fontId="14" fillId="13" borderId="0" xfId="2" applyNumberFormat="1" applyFont="1" applyFill="1"/>
    <xf numFmtId="0" fontId="15" fillId="0" borderId="0" xfId="2" applyFont="1"/>
    <xf numFmtId="169" fontId="15" fillId="0" borderId="0" xfId="2" applyNumberFormat="1" applyFont="1"/>
    <xf numFmtId="0" fontId="16" fillId="0" borderId="0" xfId="2" applyFont="1"/>
    <xf numFmtId="0" fontId="15" fillId="0" borderId="0" xfId="2" applyFont="1" applyAlignment="1">
      <alignment horizontal="left"/>
    </xf>
    <xf numFmtId="0" fontId="14" fillId="12" borderId="10" xfId="2" applyFont="1" applyFill="1" applyBorder="1" applyAlignment="1">
      <alignment horizontal="center"/>
    </xf>
    <xf numFmtId="0" fontId="14" fillId="12" borderId="11" xfId="2" applyFont="1" applyFill="1" applyBorder="1" applyAlignment="1">
      <alignment horizontal="center"/>
    </xf>
    <xf numFmtId="0" fontId="14" fillId="12" borderId="12" xfId="2" applyFont="1" applyFill="1" applyBorder="1" applyAlignment="1">
      <alignment horizontal="left"/>
    </xf>
    <xf numFmtId="170" fontId="15" fillId="0" borderId="13" xfId="2" applyNumberFormat="1" applyFont="1" applyBorder="1"/>
    <xf numFmtId="170" fontId="15" fillId="0" borderId="14" xfId="2" applyNumberFormat="1" applyFont="1" applyBorder="1"/>
    <xf numFmtId="4" fontId="15" fillId="0" borderId="15" xfId="2" applyNumberFormat="1" applyFont="1" applyBorder="1" applyAlignment="1">
      <alignment horizontal="center"/>
    </xf>
    <xf numFmtId="170" fontId="17" fillId="0" borderId="16" xfId="2" applyNumberFormat="1" applyFont="1" applyBorder="1" applyAlignment="1">
      <alignment horizontal="center"/>
    </xf>
    <xf numFmtId="14" fontId="7" fillId="0" borderId="0" xfId="2" applyNumberFormat="1" applyBorder="1"/>
    <xf numFmtId="0" fontId="7" fillId="0" borderId="0" xfId="2" applyBorder="1" applyAlignment="1">
      <alignment horizontal="center"/>
    </xf>
    <xf numFmtId="4" fontId="18" fillId="0" borderId="0" xfId="2" applyNumberFormat="1" applyFont="1" applyBorder="1"/>
    <xf numFmtId="0" fontId="7" fillId="0" borderId="0" xfId="2" applyBorder="1"/>
  </cellXfs>
  <cellStyles count="4">
    <cellStyle name="Comma" xfId="1" builtinId="3"/>
    <cellStyle name="Comma 2" xfId="3"/>
    <cellStyle name="Normal" xfId="0" builtinId="0"/>
    <cellStyle name="Normal 2" xfId="2"/>
  </cellStyles>
  <dxfs count="15">
    <dxf>
      <font>
        <b/>
        <i val="0"/>
        <color rgb="FF009242"/>
      </font>
    </dxf>
    <dxf>
      <font>
        <b/>
        <i val="0"/>
        <color auto="1"/>
      </font>
    </dxf>
    <dxf>
      <font>
        <b/>
        <i val="0"/>
        <color rgb="FF009242"/>
      </font>
    </dxf>
    <dxf>
      <font>
        <b/>
        <i val="0"/>
        <color auto="1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009242"/>
      </font>
    </dxf>
    <dxf>
      <font>
        <b/>
        <i val="0"/>
        <color auto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66CC"/>
        </patternFill>
      </fill>
    </dxf>
    <dxf>
      <font>
        <b/>
        <i val="0"/>
        <color theme="9"/>
      </font>
    </dxf>
    <dxf>
      <font>
        <b/>
        <i val="0"/>
        <color rgb="FFFF0000"/>
      </font>
    </dxf>
    <dxf>
      <font>
        <color theme="1"/>
      </font>
      <fill>
        <patternFill>
          <bgColor rgb="FFFF66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350742</xdr:colOff>
      <xdr:row>59</xdr:row>
      <xdr:rowOff>55925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66667" cy="980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cio.carrasco" refreshedDate="45433.338734143515" createdVersion="5" refreshedVersion="5" minRefreshableVersion="3" recordCount="10">
  <cacheSource type="worksheet">
    <worksheetSource ref="A1:BK11" sheet="CALCULATE (2)"/>
  </cacheSource>
  <cacheFields count="63">
    <cacheField name="Seq" numFmtId="0">
      <sharedItems containsSemiMixedTypes="0" containsString="0" containsNumber="1" containsInteger="1" minValue="1" maxValue="10"/>
    </cacheField>
    <cacheField name="Company Name" numFmtId="49">
      <sharedItems/>
    </cacheField>
    <cacheField name="Division Name" numFmtId="49">
      <sharedItems count="2">
        <s v="Cooking"/>
        <s v="W/M"/>
      </sharedItems>
    </cacheField>
    <cacheField name="Promotion No" numFmtId="49">
      <sharedItems count="5">
        <s v="PR-NTSO-20240405-0031"/>
        <s v="PR-NTSO-20240415-0011"/>
        <s v="PR-NTSO-20240416-0005"/>
        <s v="PR-NTSO-20240327-0059"/>
        <s v="PR-NTSO-20240416-0006"/>
      </sharedItems>
    </cacheField>
    <cacheField name="Promotion Line No" numFmtId="0">
      <sharedItems containsSemiMixedTypes="0" containsString="0" containsNumber="1" containsInteger="1" minValue="1" maxValue="4"/>
    </cacheField>
    <cacheField name="Fecha Inicio" numFmtId="49">
      <sharedItems count="4">
        <s v="20240410"/>
        <s v="20240420"/>
        <s v="20240422"/>
        <s v="20240403"/>
      </sharedItems>
    </cacheField>
    <cacheField name="Fecha Fin" numFmtId="49">
      <sharedItems count="1">
        <s v="20240430"/>
      </sharedItems>
    </cacheField>
    <cacheField name="Customer Code" numFmtId="49">
      <sharedItems/>
    </cacheField>
    <cacheField name="Modelo" numFmtId="49">
      <sharedItems/>
    </cacheField>
    <cacheField name="PVP" numFmtId="1">
      <sharedItems containsSemiMixedTypes="0" containsString="0" containsNumber="1" containsInteger="1" minValue="0" maxValue="0"/>
    </cacheField>
    <cacheField name="Costo Sellin" numFmtId="2">
      <sharedItems containsSemiMixedTypes="0" containsString="0" containsNumber="1" minValue="365.34" maxValue="3393.31"/>
    </cacheField>
    <cacheField name="* Precio Promotion" numFmtId="1">
      <sharedItems containsSemiMixedTypes="0" containsString="0" containsNumber="1" containsInteger="1" minValue="379" maxValue="2949"/>
    </cacheField>
    <cacheField name="* Nuevo Margen" numFmtId="164">
      <sharedItems containsSemiMixedTypes="0" containsString="0" containsNumber="1" containsInteger="1" minValue="5" maxValue="10"/>
    </cacheField>
    <cacheField name="* Costo Promocion" numFmtId="4">
      <sharedItems containsSemiMixedTypes="0" containsString="0" containsNumber="1" minValue="289.07" maxValue="2249.2399999999998"/>
    </cacheField>
    <cacheField name="Diferencia" numFmtId="2">
      <sharedItems containsSemiMixedTypes="0" containsString="0" containsNumber="1" minValue="0" maxValue="1144.07"/>
    </cacheField>
    <cacheField name="Unidades" numFmtId="1">
      <sharedItems containsSemiMixedTypes="0" containsString="0" containsNumber="1" containsInteger="1" minValue="0" maxValue="46"/>
    </cacheField>
    <cacheField name="* Regalo" numFmtId="49">
      <sharedItems/>
    </cacheField>
    <cacheField name="* Bundle Cost" numFmtId="2">
      <sharedItems containsNonDate="0" containsString="0" containsBlank="1"/>
    </cacheField>
    <cacheField name="* Bundle Cost Rate" numFmtId="164">
      <sharedItems containsSemiMixedTypes="0" containsString="0" containsNumber="1" containsInteger="1" minValue="0" maxValue="0"/>
    </cacheField>
    <cacheField name="Bundle Diff" numFmtId="2">
      <sharedItems containsNonDate="0" containsString="0" containsBlank="1"/>
    </cacheField>
    <cacheField name="Bundle Unidades" numFmtId="1">
      <sharedItems containsNonDate="0" containsString="0" containsBlank="1"/>
    </cacheField>
    <cacheField name="Monto Total (Book)" numFmtId="4">
      <sharedItems containsSemiMixedTypes="0" containsString="0" containsNumber="1" minValue="0" maxValue="6882.68"/>
    </cacheField>
    <cacheField name="Monto Total" numFmtId="4">
      <sharedItems containsNonDate="0" containsString="0" containsBlank="1"/>
    </cacheField>
    <cacheField name="Mix Adjust Amount" numFmtId="4">
      <sharedItems containsNonDate="0" containsString="0" containsBlank="1"/>
    </cacheField>
    <cacheField name="* NOTE *" numFmtId="0">
      <sharedItems containsBlank="1"/>
    </cacheField>
    <cacheField name="FCST UNIT AMT DIFF" numFmtId="4">
      <sharedItems containsSemiMixedTypes="0" containsString="0" containsNumber="1" minValue="-724.57" maxValue="15.250000000000099"/>
    </cacheField>
    <cacheField name="FCST QTY DIFF" numFmtId="0">
      <sharedItems containsSemiMixedTypes="0" containsString="0" containsNumber="1" containsInteger="1" minValue="-140" maxValue="6"/>
    </cacheField>
    <cacheField name="FCST AMT DIFF" numFmtId="4">
      <sharedItems containsSemiMixedTypes="0" containsString="0" containsNumber="1" minValue="-7245.7" maxValue="457.61999999999898"/>
    </cacheField>
    <cacheField name="* ALL / SHOP / WEB" numFmtId="49">
      <sharedItems/>
    </cacheField>
    <cacheField name="ADDITIONAL_COND" numFmtId="49">
      <sharedItems containsNonDate="0" containsString="0" containsBlank="1"/>
    </cacheField>
    <cacheField name="Priority" numFmtId="0">
      <sharedItems/>
    </cacheField>
    <cacheField name="Ref Line" numFmtId="0">
      <sharedItems containsBlank="1"/>
    </cacheField>
    <cacheField name="Stock" numFmtId="1">
      <sharedItems containsSemiMixedTypes="0" containsString="0" containsNumber="1" containsInteger="1" minValue="10" maxValue="400"/>
    </cacheField>
    <cacheField name="Sellin in Promo" numFmtId="1">
      <sharedItems containsSemiMixedTypes="0" containsString="0" containsNumber="1" containsInteger="1" minValue="0" maxValue="0"/>
    </cacheField>
    <cacheField name="Sellout Qty" numFmtId="1">
      <sharedItems containsSemiMixedTypes="0" containsString="0" containsNumber="1" containsInteger="1" minValue="0" maxValue="46"/>
    </cacheField>
    <cacheField name="Return Qty" numFmtId="0">
      <sharedItems containsSemiMixedTypes="0" containsString="0" containsNumber="1" containsInteger="1" minValue="0" maxValue="0"/>
    </cacheField>
    <cacheField name="Promo Applied Qty" numFmtId="0">
      <sharedItems containsSemiMixedTypes="0" containsString="0" containsNumber="1" containsInteger="1" minValue="0" maxValue="46"/>
    </cacheField>
    <cacheField name="Customer Qty" numFmtId="1">
      <sharedItems containsSemiMixedTypes="0" containsString="0" containsNumber="1" containsInteger="1" minValue="0" maxValue="0"/>
    </cacheField>
    <cacheField name="* Limit Qty" numFmtId="1">
      <sharedItems containsSemiMixedTypes="0" containsString="0" containsNumber="1" containsInteger="1" minValue="0" maxValue="8"/>
    </cacheField>
    <cacheField name="Control Over Stock" numFmtId="0">
      <sharedItems containsSemiMixedTypes="0" containsString="0" containsNumber="1" containsInteger="1" minValue="0" maxValue="0"/>
    </cacheField>
    <cacheField name="Control Not Applied" numFmtId="0">
      <sharedItems containsSemiMixedTypes="0" containsString="0" containsNumber="1" containsInteger="1" minValue="0" maxValue="0"/>
    </cacheField>
    <cacheField name="Control Cust Request" numFmtId="0">
      <sharedItems containsSemiMixedTypes="0" containsString="0" containsNumber="1" containsInteger="1" minValue="0" maxValue="0"/>
    </cacheField>
    <cacheField name="Control Below Cost" numFmtId="0">
      <sharedItems containsSemiMixedTypes="0" containsString="0" containsNumber="1" containsInteger="1" minValue="0" maxValue="0"/>
    </cacheField>
    <cacheField name="Control Limit" numFmtId="0">
      <sharedItems containsSemiMixedTypes="0" containsString="0" containsNumber="1" containsInteger="1" minValue="0" maxValue="10"/>
    </cacheField>
    <cacheField name="Bundle Seq" numFmtId="0">
      <sharedItems containsNonDate="0" containsString="0" containsBlank="1"/>
    </cacheField>
    <cacheField name="Bundle Priority" numFmtId="0">
      <sharedItems containsNonDate="0" containsString="0" containsBlank="1"/>
    </cacheField>
    <cacheField name="Bundle Stock" numFmtId="0">
      <sharedItems containsNonDate="0" containsString="0" containsBlank="1"/>
    </cacheField>
    <cacheField name="Bundle Sellout" numFmtId="0">
      <sharedItems containsNonDate="0" containsString="0" containsBlank="1"/>
    </cacheField>
    <cacheField name="Same Model" numFmtId="0">
      <sharedItems containsNonDate="0" containsString="0" containsBlank="1"/>
    </cacheField>
    <cacheField name="Promotion Line Status Code" numFmtId="49">
      <sharedItems/>
    </cacheField>
    <cacheField name="FCST Unit Amt" numFmtId="2">
      <sharedItems containsSemiMixedTypes="0" containsString="0" containsNumber="1" minValue="7.63" maxValue="1144.07"/>
    </cacheField>
    <cacheField name="FCST Qty" numFmtId="0">
      <sharedItems containsSemiMixedTypes="0" containsString="0" containsNumber="1" containsInteger="1" minValue="7" maxValue="140"/>
    </cacheField>
    <cacheField name="FCST Amt" numFmtId="4">
      <sharedItems containsSemiMixedTypes="0" containsString="0" containsNumber="1" minValue="1068.2" maxValue="8008.49"/>
    </cacheField>
    <cacheField name="FCST Amt(Book)" numFmtId="4">
      <sharedItems containsSemiMixedTypes="0" containsString="0" containsNumber="1" minValue="1068.2" maxValue="8008.49"/>
    </cacheField>
    <cacheField name="Actual Accu Qty" numFmtId="0">
      <sharedItems containsSemiMixedTypes="0" containsString="0" containsNumber="1" containsInteger="1" minValue="0" maxValue="0"/>
    </cacheField>
    <cacheField name="Actual Accu Amt" numFmtId="4">
      <sharedItems containsSemiMixedTypes="0" containsString="0" containsNumber="1" containsInteger="1" minValue="0" maxValue="0"/>
    </cacheField>
    <cacheField name="Customer Name" numFmtId="49">
      <sharedItems count="1">
        <s v="IMPORTACIONES RUBI S.A."/>
      </sharedItems>
    </cacheField>
    <cacheField name="Promotion Name" numFmtId="49">
      <sharedItems count="5">
        <s v="2024 - RUBI - Cooking - 20240410 AL 20240430"/>
        <s v="2024 - RUBI - Cooking - 20240420 AL 20240430"/>
        <s v="2024 - RUBI - Cooking - 20240422 AL 20240430"/>
        <s v="2024 - RUBI - W/M - 20240403 AL 20240430"/>
        <s v="2024 - RUBI - W/M - 20240422 AL 20240430"/>
      </sharedItems>
    </cacheField>
    <cacheField name="Model Code" numFmtId="49">
      <sharedItems/>
    </cacheField>
    <cacheField name="Currency" numFmtId="49">
      <sharedItems/>
    </cacheField>
    <cacheField name="TC" numFmtId="165">
      <sharedItems containsSemiMixedTypes="0" containsString="0" containsNumber="1" containsInteger="1" minValue="1" maxValue="1"/>
    </cacheField>
    <cacheField name="Line Remark" numFmtId="49">
      <sharedItems/>
    </cacheField>
    <cacheField name="Concat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s v="H&amp;A Company"/>
    <x v="0"/>
    <x v="0"/>
    <n v="1"/>
    <x v="0"/>
    <x v="0"/>
    <s v="PE000820001B"/>
    <s v="RSG314M.FSTGLPR"/>
    <n v="0"/>
    <n v="1944.15"/>
    <n v="1599"/>
    <n v="10"/>
    <n v="1219.58"/>
    <n v="724.57"/>
    <n v="8"/>
    <s v="0"/>
    <m/>
    <n v="0"/>
    <m/>
    <m/>
    <n v="5796.56"/>
    <m/>
    <m/>
    <m/>
    <n v="1.13686837721616E-13"/>
    <n v="0"/>
    <n v="9.0949470177292804E-13"/>
    <s v="ALL"/>
    <m/>
    <s v="1-BASIC"/>
    <m/>
    <n v="18"/>
    <n v="0"/>
    <n v="18"/>
    <n v="0"/>
    <n v="18"/>
    <n v="0"/>
    <n v="8"/>
    <n v="0"/>
    <n v="0"/>
    <n v="0"/>
    <n v="0"/>
    <n v="10"/>
    <m/>
    <m/>
    <m/>
    <m/>
    <m/>
    <s v="APPROVED"/>
    <n v="724.57"/>
    <n v="8"/>
    <n v="5796.56"/>
    <n v="5796.56"/>
    <n v="0"/>
    <n v="0"/>
    <x v="0"/>
    <x v="0"/>
    <s v="RSG314M.FSTGLPR"/>
    <s v="PEN"/>
    <n v="1"/>
    <s v="1599_10__8"/>
    <s v="PR-NTSO-20240405-0031RSG314M.FSTGLPR"/>
  </r>
  <r>
    <n v="2"/>
    <s v="H&amp;A Company"/>
    <x v="0"/>
    <x v="1"/>
    <n v="1"/>
    <x v="1"/>
    <x v="0"/>
    <s v="PE000820001B"/>
    <s v="MS2596DIR.BBKGLPR"/>
    <n v="0"/>
    <n v="365.34"/>
    <n v="379"/>
    <n v="10"/>
    <n v="289.07"/>
    <n v="76.27"/>
    <n v="0"/>
    <s v="0"/>
    <m/>
    <n v="0"/>
    <m/>
    <m/>
    <n v="0"/>
    <m/>
    <m/>
    <s v="COST UPDATED BY STOCK"/>
    <n v="-1.4210854715202001E-14"/>
    <n v="-21"/>
    <n v="-1601.67"/>
    <s v="ALL"/>
    <m/>
    <s v="1-BASIC"/>
    <m/>
    <n v="24"/>
    <n v="0"/>
    <n v="0"/>
    <n v="0"/>
    <n v="0"/>
    <n v="0"/>
    <n v="0"/>
    <n v="0"/>
    <n v="0"/>
    <n v="0"/>
    <n v="0"/>
    <n v="0"/>
    <m/>
    <m/>
    <m/>
    <m/>
    <m/>
    <s v="APPROVED"/>
    <n v="76.27"/>
    <n v="21"/>
    <n v="1601.67"/>
    <n v="1601.67"/>
    <n v="0"/>
    <n v="0"/>
    <x v="0"/>
    <x v="1"/>
    <s v="MS2596DIR.BBKGLPR"/>
    <s v="PEN"/>
    <n v="1"/>
    <s v="379_10__"/>
    <s v="PR-NTSO-20240415-0011MS2596DIR.BBKGLPR"/>
  </r>
  <r>
    <n v="3"/>
    <s v="H&amp;A Company"/>
    <x v="0"/>
    <x v="2"/>
    <n v="1"/>
    <x v="2"/>
    <x v="0"/>
    <s v="PE000820001B"/>
    <s v="MS4296DIR.BBKGLPR"/>
    <n v="0"/>
    <n v="433.98"/>
    <n v="539"/>
    <n v="10"/>
    <n v="411.1"/>
    <n v="22.880000000000098"/>
    <n v="0"/>
    <s v="0"/>
    <m/>
    <n v="0"/>
    <m/>
    <m/>
    <n v="0"/>
    <m/>
    <m/>
    <s v="COST UPDATED BY STOCK"/>
    <n v="15.250000000000099"/>
    <n v="-140"/>
    <n v="-1068.2"/>
    <s v="ALL"/>
    <m/>
    <s v="1-BASIC"/>
    <m/>
    <n v="49"/>
    <n v="0"/>
    <n v="0"/>
    <n v="0"/>
    <n v="0"/>
    <n v="0"/>
    <n v="0"/>
    <n v="0"/>
    <n v="0"/>
    <n v="0"/>
    <n v="0"/>
    <n v="0"/>
    <m/>
    <m/>
    <m/>
    <m/>
    <m/>
    <s v="APPROVED"/>
    <n v="7.63"/>
    <n v="140"/>
    <n v="1068.2"/>
    <n v="1068.2"/>
    <n v="0"/>
    <n v="0"/>
    <x v="0"/>
    <x v="2"/>
    <s v="MS4296DIR.BBKGLPR"/>
    <s v="PEN"/>
    <n v="1"/>
    <s v="539_10__"/>
    <s v="PR-NTSO-20240416-0005MS4296DIR.BBKGLPR"/>
  </r>
  <r>
    <n v="4"/>
    <s v="H&amp;A Company"/>
    <x v="0"/>
    <x v="2"/>
    <n v="2"/>
    <x v="2"/>
    <x v="0"/>
    <s v="PE000820001B"/>
    <s v="RSG314M.FSTGLPR"/>
    <n v="0"/>
    <n v="1219.58"/>
    <n v="1599"/>
    <n v="10"/>
    <n v="1219.58"/>
    <n v="0"/>
    <n v="10"/>
    <s v="0"/>
    <m/>
    <n v="0"/>
    <m/>
    <m/>
    <n v="0"/>
    <m/>
    <m/>
    <m/>
    <n v="-724.57"/>
    <n v="0"/>
    <n v="-7245.7"/>
    <s v="ALL"/>
    <m/>
    <s v="2-ADDITIONAL"/>
    <s v="1"/>
    <n v="10"/>
    <n v="0"/>
    <n v="10"/>
    <n v="0"/>
    <n v="10"/>
    <n v="0"/>
    <n v="0"/>
    <n v="0"/>
    <n v="0"/>
    <n v="0"/>
    <n v="0"/>
    <n v="0"/>
    <m/>
    <m/>
    <m/>
    <m/>
    <m/>
    <s v="APPROVED"/>
    <n v="724.57"/>
    <n v="10"/>
    <n v="7245.7"/>
    <n v="7245.7"/>
    <n v="0"/>
    <n v="0"/>
    <x v="0"/>
    <x v="2"/>
    <s v="RSG314M.FSTGLPR"/>
    <s v="PEN"/>
    <n v="1"/>
    <s v="1599_10__"/>
    <s v="PR-NTSO-20240416-0005RSG314M.FSTGLPR"/>
  </r>
  <r>
    <n v="5"/>
    <s v="H&amp;A Company"/>
    <x v="1"/>
    <x v="3"/>
    <n v="1"/>
    <x v="3"/>
    <x v="0"/>
    <s v="PE000820001B"/>
    <s v="WD12BVC2S6C.ABLGLGP"/>
    <n v="0"/>
    <n v="2279.75"/>
    <n v="2099"/>
    <n v="10"/>
    <n v="1600.93"/>
    <n v="678.82"/>
    <n v="5"/>
    <s v="0"/>
    <m/>
    <n v="0"/>
    <m/>
    <m/>
    <n v="3394.1"/>
    <m/>
    <m/>
    <m/>
    <n v="-1.13686837721616E-13"/>
    <n v="-5"/>
    <n v="-3394.1"/>
    <s v="ALL"/>
    <m/>
    <s v="1-BASIC"/>
    <m/>
    <n v="36"/>
    <n v="0"/>
    <n v="5"/>
    <n v="0"/>
    <n v="5"/>
    <n v="0"/>
    <n v="0"/>
    <n v="0"/>
    <n v="0"/>
    <n v="0"/>
    <n v="0"/>
    <n v="0"/>
    <m/>
    <m/>
    <m/>
    <m/>
    <m/>
    <s v="APPROVED"/>
    <n v="678.82"/>
    <n v="10"/>
    <n v="6788.2"/>
    <n v="6788.2"/>
    <n v="0"/>
    <n v="0"/>
    <x v="0"/>
    <x v="3"/>
    <s v="WD12BVC2S6C.ABLGLGP"/>
    <s v="PEN"/>
    <n v="1"/>
    <s v="2099_10__"/>
    <s v="PR-NTSO-20240327-0059WD12BVC2S6C.ABLGLGP"/>
  </r>
  <r>
    <n v="6"/>
    <s v="H&amp;A Company"/>
    <x v="1"/>
    <x v="3"/>
    <n v="2"/>
    <x v="3"/>
    <x v="0"/>
    <s v="PE000820001B"/>
    <s v="WD14BVC2S6C.ABLGLGP"/>
    <n v="0"/>
    <n v="2287.37"/>
    <n v="2799"/>
    <n v="10"/>
    <n v="2134.83"/>
    <n v="152.54"/>
    <n v="4"/>
    <s v="0"/>
    <m/>
    <n v="0"/>
    <m/>
    <m/>
    <n v="610.16"/>
    <m/>
    <m/>
    <m/>
    <n v="-2.8421709430404001E-14"/>
    <n v="-10"/>
    <n v="-1525.4"/>
    <s v="ALL"/>
    <m/>
    <s v="1-BASIC"/>
    <m/>
    <n v="39"/>
    <n v="0"/>
    <n v="4"/>
    <n v="0"/>
    <n v="4"/>
    <n v="0"/>
    <n v="0"/>
    <n v="0"/>
    <n v="0"/>
    <n v="0"/>
    <n v="0"/>
    <n v="0"/>
    <m/>
    <m/>
    <m/>
    <m/>
    <m/>
    <s v="APPROVED"/>
    <n v="152.54"/>
    <n v="14"/>
    <n v="2135.56"/>
    <n v="2135.56"/>
    <n v="0"/>
    <n v="0"/>
    <x v="0"/>
    <x v="3"/>
    <s v="WD14BVC2S6C.ABLGLGP"/>
    <s v="PEN"/>
    <n v="1"/>
    <s v="2799_10__"/>
    <s v="PR-NTSO-20240327-0059WD14BVC2S6C.ABLGLGP"/>
  </r>
  <r>
    <n v="7"/>
    <s v="H&amp;A Company"/>
    <x v="1"/>
    <x v="3"/>
    <n v="3"/>
    <x v="3"/>
    <x v="0"/>
    <s v="PE000820001B"/>
    <s v="WD15EG2S.AESGLGP"/>
    <n v="0"/>
    <n v="3393.31"/>
    <n v="2949"/>
    <n v="10"/>
    <n v="2249.2399999999998"/>
    <n v="1144.07"/>
    <n v="2"/>
    <s v="0"/>
    <m/>
    <n v="0"/>
    <m/>
    <m/>
    <n v="2288.14"/>
    <m/>
    <m/>
    <m/>
    <n v="2.2737367544323201E-13"/>
    <n v="-5"/>
    <n v="-5720.35"/>
    <s v="ALL"/>
    <m/>
    <s v="1-BASIC"/>
    <m/>
    <n v="14"/>
    <n v="0"/>
    <n v="2"/>
    <n v="0"/>
    <n v="2"/>
    <n v="0"/>
    <n v="0"/>
    <n v="0"/>
    <n v="0"/>
    <n v="0"/>
    <n v="0"/>
    <n v="0"/>
    <m/>
    <m/>
    <m/>
    <m/>
    <m/>
    <s v="APPROVED"/>
    <n v="1144.07"/>
    <n v="7"/>
    <n v="8008.49"/>
    <n v="8008.49"/>
    <n v="0"/>
    <n v="0"/>
    <x v="0"/>
    <x v="3"/>
    <s v="WD15EG2S.AESGLGP"/>
    <s v="PEN"/>
    <n v="1"/>
    <s v="2949_10__"/>
    <s v="PR-NTSO-20240327-0059WD15EG2S.AESGLGP"/>
  </r>
  <r>
    <n v="8"/>
    <s v="H&amp;A Company"/>
    <x v="1"/>
    <x v="3"/>
    <n v="4"/>
    <x v="3"/>
    <x v="0"/>
    <s v="PE000820001B"/>
    <s v="WT19BPB.ABMGLGP"/>
    <n v="0"/>
    <n v="1372.12"/>
    <n v="1399"/>
    <n v="5"/>
    <n v="1126.31"/>
    <n v="245.81"/>
    <n v="28"/>
    <s v="0"/>
    <m/>
    <n v="0"/>
    <m/>
    <m/>
    <n v="6882.68"/>
    <m/>
    <m/>
    <m/>
    <n v="1.7053025658242399E-13"/>
    <n v="-2"/>
    <n v="-491.619999999995"/>
    <s v="ALL"/>
    <m/>
    <s v="1-BASIC"/>
    <m/>
    <n v="29"/>
    <n v="0"/>
    <n v="28"/>
    <n v="0"/>
    <n v="28"/>
    <n v="0"/>
    <n v="0"/>
    <n v="0"/>
    <n v="0"/>
    <n v="0"/>
    <n v="0"/>
    <n v="0"/>
    <m/>
    <m/>
    <m/>
    <m/>
    <m/>
    <s v="APPROVED"/>
    <n v="245.81"/>
    <n v="30"/>
    <n v="7374.3"/>
    <n v="7374.3"/>
    <n v="0"/>
    <n v="0"/>
    <x v="0"/>
    <x v="3"/>
    <s v="WT19BPB.ABMGLGP"/>
    <s v="PEN"/>
    <n v="1"/>
    <s v="1399_5__"/>
    <s v="PR-NTSO-20240327-0059WT19BPB.ABMGLGP"/>
  </r>
  <r>
    <n v="9"/>
    <s v="H&amp;A Company"/>
    <x v="1"/>
    <x v="4"/>
    <n v="1"/>
    <x v="2"/>
    <x v="0"/>
    <s v="PE000820001B"/>
    <s v="WT13BPBK.ABMGLGP"/>
    <n v="0"/>
    <n v="990.76"/>
    <n v="1199"/>
    <n v="10"/>
    <n v="914.49"/>
    <n v="76.27"/>
    <n v="46"/>
    <s v="0"/>
    <m/>
    <n v="0"/>
    <m/>
    <m/>
    <n v="3508.42"/>
    <m/>
    <m/>
    <m/>
    <n v="-1.4210854715202001E-14"/>
    <n v="6"/>
    <n v="457.61999999999898"/>
    <s v="ALL"/>
    <m/>
    <s v="1-BASIC"/>
    <m/>
    <n v="101"/>
    <n v="0"/>
    <n v="46"/>
    <n v="0"/>
    <n v="46"/>
    <n v="0"/>
    <n v="0"/>
    <n v="0"/>
    <n v="0"/>
    <n v="0"/>
    <n v="0"/>
    <n v="0"/>
    <m/>
    <m/>
    <m/>
    <m/>
    <m/>
    <s v="APPROVED"/>
    <n v="76.27"/>
    <n v="40"/>
    <n v="3050.8"/>
    <n v="3050.8"/>
    <n v="0"/>
    <n v="0"/>
    <x v="0"/>
    <x v="4"/>
    <s v="WT13BPBK.ABMGLGP"/>
    <s v="PEN"/>
    <n v="1"/>
    <s v="1199_10__"/>
    <s v="PR-NTSO-20240416-0006WT13BPBK.ABMGLGP"/>
  </r>
  <r>
    <n v="10"/>
    <s v="H&amp;A Company"/>
    <x v="1"/>
    <x v="4"/>
    <n v="2"/>
    <x v="2"/>
    <x v="0"/>
    <s v="PE000820001B"/>
    <s v="WT17BV6.ABMGLGP"/>
    <n v="0"/>
    <n v="1295.8499999999999"/>
    <n v="1449"/>
    <n v="8"/>
    <n v="1129.73"/>
    <n v="166.12"/>
    <n v="5"/>
    <s v="0"/>
    <m/>
    <n v="0"/>
    <m/>
    <m/>
    <n v="830.599999999999"/>
    <m/>
    <m/>
    <m/>
    <n v="-1.13686837721616E-13"/>
    <n v="-35"/>
    <n v="-5814.2"/>
    <s v="ALL"/>
    <m/>
    <s v="1-BASIC"/>
    <m/>
    <n v="400"/>
    <n v="0"/>
    <n v="5"/>
    <n v="0"/>
    <n v="5"/>
    <n v="0"/>
    <n v="0"/>
    <n v="0"/>
    <n v="0"/>
    <n v="0"/>
    <n v="0"/>
    <n v="0"/>
    <m/>
    <m/>
    <m/>
    <m/>
    <m/>
    <s v="APPROVED"/>
    <n v="166.12"/>
    <n v="40"/>
    <n v="6644.8"/>
    <n v="6644.8"/>
    <n v="0"/>
    <n v="0"/>
    <x v="0"/>
    <x v="4"/>
    <s v="WT17BV6.ABMGLGP"/>
    <s v="PEN"/>
    <n v="1"/>
    <s v="1449_8__"/>
    <s v="PR-NTSO-20240416-0006WT17BV6.ABMGLG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>
  <location ref="A3:G10" firstHeaderRow="2" firstDataRow="2" firstDataCol="6"/>
  <pivotFields count="6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0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56"/>
    <field x="2"/>
    <field x="3"/>
    <field x="57"/>
    <field x="5"/>
    <field x="6"/>
  </rowFields>
  <rowItems count="6">
    <i>
      <x/>
      <x/>
      <x v="1"/>
      <x/>
      <x v="1"/>
      <x/>
    </i>
    <i r="2">
      <x v="2"/>
      <x v="1"/>
      <x v="2"/>
      <x/>
    </i>
    <i r="2">
      <x v="3"/>
      <x v="2"/>
      <x v="3"/>
      <x/>
    </i>
    <i r="1">
      <x v="1"/>
      <x/>
      <x v="3"/>
      <x/>
      <x/>
    </i>
    <i r="2">
      <x v="4"/>
      <x v="4"/>
      <x v="3"/>
      <x/>
    </i>
    <i t="grand">
      <x/>
    </i>
  </rowItems>
  <colItems count="1">
    <i/>
  </colItems>
  <dataFields count="1">
    <dataField name="Sum of Monto Total (Book)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tabSelected="1" workbookViewId="0">
      <selection activeCell="D23" sqref="D23"/>
    </sheetView>
  </sheetViews>
  <sheetFormatPr defaultColWidth="8.85546875" defaultRowHeight="12.75" x14ac:dyDescent="0.2"/>
  <cols>
    <col min="1" max="1" width="5.28515625" style="80" customWidth="1"/>
    <col min="2" max="2" width="38.85546875" style="46" bestFit="1" customWidth="1"/>
    <col min="3" max="3" width="7.140625" style="46" bestFit="1" customWidth="1"/>
    <col min="4" max="4" width="21.140625" style="46" bestFit="1" customWidth="1"/>
    <col min="5" max="5" width="32.7109375" style="46" bestFit="1" customWidth="1"/>
    <col min="6" max="6" width="12" style="46" bestFit="1" customWidth="1"/>
    <col min="7" max="7" width="10.140625" style="46" customWidth="1"/>
    <col min="8" max="8" width="12.5703125" style="46" customWidth="1"/>
    <col min="9" max="9" width="11.42578125" style="46" bestFit="1" customWidth="1"/>
    <col min="10" max="10" width="12" style="46" bestFit="1" customWidth="1"/>
    <col min="11" max="11" width="13.7109375" style="46" bestFit="1" customWidth="1"/>
    <col min="12" max="256" width="8.85546875" style="46"/>
    <col min="257" max="257" width="5.28515625" style="46" customWidth="1"/>
    <col min="258" max="258" width="36.28515625" style="46" bestFit="1" customWidth="1"/>
    <col min="259" max="259" width="7.140625" style="46" bestFit="1" customWidth="1"/>
    <col min="260" max="260" width="21.140625" style="46" bestFit="1" customWidth="1"/>
    <col min="261" max="261" width="32.7109375" style="46" bestFit="1" customWidth="1"/>
    <col min="262" max="262" width="12" style="46" bestFit="1" customWidth="1"/>
    <col min="263" max="263" width="10.140625" style="46" customWidth="1"/>
    <col min="264" max="264" width="12.5703125" style="46" customWidth="1"/>
    <col min="265" max="265" width="11.42578125" style="46" bestFit="1" customWidth="1"/>
    <col min="266" max="266" width="12" style="46" bestFit="1" customWidth="1"/>
    <col min="267" max="267" width="13.7109375" style="46" bestFit="1" customWidth="1"/>
    <col min="268" max="512" width="8.85546875" style="46"/>
    <col min="513" max="513" width="5.28515625" style="46" customWidth="1"/>
    <col min="514" max="514" width="36.28515625" style="46" bestFit="1" customWidth="1"/>
    <col min="515" max="515" width="7.140625" style="46" bestFit="1" customWidth="1"/>
    <col min="516" max="516" width="21.140625" style="46" bestFit="1" customWidth="1"/>
    <col min="517" max="517" width="32.7109375" style="46" bestFit="1" customWidth="1"/>
    <col min="518" max="518" width="12" style="46" bestFit="1" customWidth="1"/>
    <col min="519" max="519" width="10.140625" style="46" customWidth="1"/>
    <col min="520" max="520" width="12.5703125" style="46" customWidth="1"/>
    <col min="521" max="521" width="11.42578125" style="46" bestFit="1" customWidth="1"/>
    <col min="522" max="522" width="12" style="46" bestFit="1" customWidth="1"/>
    <col min="523" max="523" width="13.7109375" style="46" bestFit="1" customWidth="1"/>
    <col min="524" max="768" width="8.85546875" style="46"/>
    <col min="769" max="769" width="5.28515625" style="46" customWidth="1"/>
    <col min="770" max="770" width="36.28515625" style="46" bestFit="1" customWidth="1"/>
    <col min="771" max="771" width="7.140625" style="46" bestFit="1" customWidth="1"/>
    <col min="772" max="772" width="21.140625" style="46" bestFit="1" customWidth="1"/>
    <col min="773" max="773" width="32.7109375" style="46" bestFit="1" customWidth="1"/>
    <col min="774" max="774" width="12" style="46" bestFit="1" customWidth="1"/>
    <col min="775" max="775" width="10.140625" style="46" customWidth="1"/>
    <col min="776" max="776" width="12.5703125" style="46" customWidth="1"/>
    <col min="777" max="777" width="11.42578125" style="46" bestFit="1" customWidth="1"/>
    <col min="778" max="778" width="12" style="46" bestFit="1" customWidth="1"/>
    <col min="779" max="779" width="13.7109375" style="46" bestFit="1" customWidth="1"/>
    <col min="780" max="1024" width="8.85546875" style="46"/>
    <col min="1025" max="1025" width="5.28515625" style="46" customWidth="1"/>
    <col min="1026" max="1026" width="36.28515625" style="46" bestFit="1" customWidth="1"/>
    <col min="1027" max="1027" width="7.140625" style="46" bestFit="1" customWidth="1"/>
    <col min="1028" max="1028" width="21.140625" style="46" bestFit="1" customWidth="1"/>
    <col min="1029" max="1029" width="32.7109375" style="46" bestFit="1" customWidth="1"/>
    <col min="1030" max="1030" width="12" style="46" bestFit="1" customWidth="1"/>
    <col min="1031" max="1031" width="10.140625" style="46" customWidth="1"/>
    <col min="1032" max="1032" width="12.5703125" style="46" customWidth="1"/>
    <col min="1033" max="1033" width="11.42578125" style="46" bestFit="1" customWidth="1"/>
    <col min="1034" max="1034" width="12" style="46" bestFit="1" customWidth="1"/>
    <col min="1035" max="1035" width="13.7109375" style="46" bestFit="1" customWidth="1"/>
    <col min="1036" max="1280" width="8.85546875" style="46"/>
    <col min="1281" max="1281" width="5.28515625" style="46" customWidth="1"/>
    <col min="1282" max="1282" width="36.28515625" style="46" bestFit="1" customWidth="1"/>
    <col min="1283" max="1283" width="7.140625" style="46" bestFit="1" customWidth="1"/>
    <col min="1284" max="1284" width="21.140625" style="46" bestFit="1" customWidth="1"/>
    <col min="1285" max="1285" width="32.7109375" style="46" bestFit="1" customWidth="1"/>
    <col min="1286" max="1286" width="12" style="46" bestFit="1" customWidth="1"/>
    <col min="1287" max="1287" width="10.140625" style="46" customWidth="1"/>
    <col min="1288" max="1288" width="12.5703125" style="46" customWidth="1"/>
    <col min="1289" max="1289" width="11.42578125" style="46" bestFit="1" customWidth="1"/>
    <col min="1290" max="1290" width="12" style="46" bestFit="1" customWidth="1"/>
    <col min="1291" max="1291" width="13.7109375" style="46" bestFit="1" customWidth="1"/>
    <col min="1292" max="1536" width="8.85546875" style="46"/>
    <col min="1537" max="1537" width="5.28515625" style="46" customWidth="1"/>
    <col min="1538" max="1538" width="36.28515625" style="46" bestFit="1" customWidth="1"/>
    <col min="1539" max="1539" width="7.140625" style="46" bestFit="1" customWidth="1"/>
    <col min="1540" max="1540" width="21.140625" style="46" bestFit="1" customWidth="1"/>
    <col min="1541" max="1541" width="32.7109375" style="46" bestFit="1" customWidth="1"/>
    <col min="1542" max="1542" width="12" style="46" bestFit="1" customWidth="1"/>
    <col min="1543" max="1543" width="10.140625" style="46" customWidth="1"/>
    <col min="1544" max="1544" width="12.5703125" style="46" customWidth="1"/>
    <col min="1545" max="1545" width="11.42578125" style="46" bestFit="1" customWidth="1"/>
    <col min="1546" max="1546" width="12" style="46" bestFit="1" customWidth="1"/>
    <col min="1547" max="1547" width="13.7109375" style="46" bestFit="1" customWidth="1"/>
    <col min="1548" max="1792" width="8.85546875" style="46"/>
    <col min="1793" max="1793" width="5.28515625" style="46" customWidth="1"/>
    <col min="1794" max="1794" width="36.28515625" style="46" bestFit="1" customWidth="1"/>
    <col min="1795" max="1795" width="7.140625" style="46" bestFit="1" customWidth="1"/>
    <col min="1796" max="1796" width="21.140625" style="46" bestFit="1" customWidth="1"/>
    <col min="1797" max="1797" width="32.7109375" style="46" bestFit="1" customWidth="1"/>
    <col min="1798" max="1798" width="12" style="46" bestFit="1" customWidth="1"/>
    <col min="1799" max="1799" width="10.140625" style="46" customWidth="1"/>
    <col min="1800" max="1800" width="12.5703125" style="46" customWidth="1"/>
    <col min="1801" max="1801" width="11.42578125" style="46" bestFit="1" customWidth="1"/>
    <col min="1802" max="1802" width="12" style="46" bestFit="1" customWidth="1"/>
    <col min="1803" max="1803" width="13.7109375" style="46" bestFit="1" customWidth="1"/>
    <col min="1804" max="2048" width="8.85546875" style="46"/>
    <col min="2049" max="2049" width="5.28515625" style="46" customWidth="1"/>
    <col min="2050" max="2050" width="36.28515625" style="46" bestFit="1" customWidth="1"/>
    <col min="2051" max="2051" width="7.140625" style="46" bestFit="1" customWidth="1"/>
    <col min="2052" max="2052" width="21.140625" style="46" bestFit="1" customWidth="1"/>
    <col min="2053" max="2053" width="32.7109375" style="46" bestFit="1" customWidth="1"/>
    <col min="2054" max="2054" width="12" style="46" bestFit="1" customWidth="1"/>
    <col min="2055" max="2055" width="10.140625" style="46" customWidth="1"/>
    <col min="2056" max="2056" width="12.5703125" style="46" customWidth="1"/>
    <col min="2057" max="2057" width="11.42578125" style="46" bestFit="1" customWidth="1"/>
    <col min="2058" max="2058" width="12" style="46" bestFit="1" customWidth="1"/>
    <col min="2059" max="2059" width="13.7109375" style="46" bestFit="1" customWidth="1"/>
    <col min="2060" max="2304" width="8.85546875" style="46"/>
    <col min="2305" max="2305" width="5.28515625" style="46" customWidth="1"/>
    <col min="2306" max="2306" width="36.28515625" style="46" bestFit="1" customWidth="1"/>
    <col min="2307" max="2307" width="7.140625" style="46" bestFit="1" customWidth="1"/>
    <col min="2308" max="2308" width="21.140625" style="46" bestFit="1" customWidth="1"/>
    <col min="2309" max="2309" width="32.7109375" style="46" bestFit="1" customWidth="1"/>
    <col min="2310" max="2310" width="12" style="46" bestFit="1" customWidth="1"/>
    <col min="2311" max="2311" width="10.140625" style="46" customWidth="1"/>
    <col min="2312" max="2312" width="12.5703125" style="46" customWidth="1"/>
    <col min="2313" max="2313" width="11.42578125" style="46" bestFit="1" customWidth="1"/>
    <col min="2314" max="2314" width="12" style="46" bestFit="1" customWidth="1"/>
    <col min="2315" max="2315" width="13.7109375" style="46" bestFit="1" customWidth="1"/>
    <col min="2316" max="2560" width="8.85546875" style="46"/>
    <col min="2561" max="2561" width="5.28515625" style="46" customWidth="1"/>
    <col min="2562" max="2562" width="36.28515625" style="46" bestFit="1" customWidth="1"/>
    <col min="2563" max="2563" width="7.140625" style="46" bestFit="1" customWidth="1"/>
    <col min="2564" max="2564" width="21.140625" style="46" bestFit="1" customWidth="1"/>
    <col min="2565" max="2565" width="32.7109375" style="46" bestFit="1" customWidth="1"/>
    <col min="2566" max="2566" width="12" style="46" bestFit="1" customWidth="1"/>
    <col min="2567" max="2567" width="10.140625" style="46" customWidth="1"/>
    <col min="2568" max="2568" width="12.5703125" style="46" customWidth="1"/>
    <col min="2569" max="2569" width="11.42578125" style="46" bestFit="1" customWidth="1"/>
    <col min="2570" max="2570" width="12" style="46" bestFit="1" customWidth="1"/>
    <col min="2571" max="2571" width="13.7109375" style="46" bestFit="1" customWidth="1"/>
    <col min="2572" max="2816" width="8.85546875" style="46"/>
    <col min="2817" max="2817" width="5.28515625" style="46" customWidth="1"/>
    <col min="2818" max="2818" width="36.28515625" style="46" bestFit="1" customWidth="1"/>
    <col min="2819" max="2819" width="7.140625" style="46" bestFit="1" customWidth="1"/>
    <col min="2820" max="2820" width="21.140625" style="46" bestFit="1" customWidth="1"/>
    <col min="2821" max="2821" width="32.7109375" style="46" bestFit="1" customWidth="1"/>
    <col min="2822" max="2822" width="12" style="46" bestFit="1" customWidth="1"/>
    <col min="2823" max="2823" width="10.140625" style="46" customWidth="1"/>
    <col min="2824" max="2824" width="12.5703125" style="46" customWidth="1"/>
    <col min="2825" max="2825" width="11.42578125" style="46" bestFit="1" customWidth="1"/>
    <col min="2826" max="2826" width="12" style="46" bestFit="1" customWidth="1"/>
    <col min="2827" max="2827" width="13.7109375" style="46" bestFit="1" customWidth="1"/>
    <col min="2828" max="3072" width="8.85546875" style="46"/>
    <col min="3073" max="3073" width="5.28515625" style="46" customWidth="1"/>
    <col min="3074" max="3074" width="36.28515625" style="46" bestFit="1" customWidth="1"/>
    <col min="3075" max="3075" width="7.140625" style="46" bestFit="1" customWidth="1"/>
    <col min="3076" max="3076" width="21.140625" style="46" bestFit="1" customWidth="1"/>
    <col min="3077" max="3077" width="32.7109375" style="46" bestFit="1" customWidth="1"/>
    <col min="3078" max="3078" width="12" style="46" bestFit="1" customWidth="1"/>
    <col min="3079" max="3079" width="10.140625" style="46" customWidth="1"/>
    <col min="3080" max="3080" width="12.5703125" style="46" customWidth="1"/>
    <col min="3081" max="3081" width="11.42578125" style="46" bestFit="1" customWidth="1"/>
    <col min="3082" max="3082" width="12" style="46" bestFit="1" customWidth="1"/>
    <col min="3083" max="3083" width="13.7109375" style="46" bestFit="1" customWidth="1"/>
    <col min="3084" max="3328" width="8.85546875" style="46"/>
    <col min="3329" max="3329" width="5.28515625" style="46" customWidth="1"/>
    <col min="3330" max="3330" width="36.28515625" style="46" bestFit="1" customWidth="1"/>
    <col min="3331" max="3331" width="7.140625" style="46" bestFit="1" customWidth="1"/>
    <col min="3332" max="3332" width="21.140625" style="46" bestFit="1" customWidth="1"/>
    <col min="3333" max="3333" width="32.7109375" style="46" bestFit="1" customWidth="1"/>
    <col min="3334" max="3334" width="12" style="46" bestFit="1" customWidth="1"/>
    <col min="3335" max="3335" width="10.140625" style="46" customWidth="1"/>
    <col min="3336" max="3336" width="12.5703125" style="46" customWidth="1"/>
    <col min="3337" max="3337" width="11.42578125" style="46" bestFit="1" customWidth="1"/>
    <col min="3338" max="3338" width="12" style="46" bestFit="1" customWidth="1"/>
    <col min="3339" max="3339" width="13.7109375" style="46" bestFit="1" customWidth="1"/>
    <col min="3340" max="3584" width="8.85546875" style="46"/>
    <col min="3585" max="3585" width="5.28515625" style="46" customWidth="1"/>
    <col min="3586" max="3586" width="36.28515625" style="46" bestFit="1" customWidth="1"/>
    <col min="3587" max="3587" width="7.140625" style="46" bestFit="1" customWidth="1"/>
    <col min="3588" max="3588" width="21.140625" style="46" bestFit="1" customWidth="1"/>
    <col min="3589" max="3589" width="32.7109375" style="46" bestFit="1" customWidth="1"/>
    <col min="3590" max="3590" width="12" style="46" bestFit="1" customWidth="1"/>
    <col min="3591" max="3591" width="10.140625" style="46" customWidth="1"/>
    <col min="3592" max="3592" width="12.5703125" style="46" customWidth="1"/>
    <col min="3593" max="3593" width="11.42578125" style="46" bestFit="1" customWidth="1"/>
    <col min="3594" max="3594" width="12" style="46" bestFit="1" customWidth="1"/>
    <col min="3595" max="3595" width="13.7109375" style="46" bestFit="1" customWidth="1"/>
    <col min="3596" max="3840" width="8.85546875" style="46"/>
    <col min="3841" max="3841" width="5.28515625" style="46" customWidth="1"/>
    <col min="3842" max="3842" width="36.28515625" style="46" bestFit="1" customWidth="1"/>
    <col min="3843" max="3843" width="7.140625" style="46" bestFit="1" customWidth="1"/>
    <col min="3844" max="3844" width="21.140625" style="46" bestFit="1" customWidth="1"/>
    <col min="3845" max="3845" width="32.7109375" style="46" bestFit="1" customWidth="1"/>
    <col min="3846" max="3846" width="12" style="46" bestFit="1" customWidth="1"/>
    <col min="3847" max="3847" width="10.140625" style="46" customWidth="1"/>
    <col min="3848" max="3848" width="12.5703125" style="46" customWidth="1"/>
    <col min="3849" max="3849" width="11.42578125" style="46" bestFit="1" customWidth="1"/>
    <col min="3850" max="3850" width="12" style="46" bestFit="1" customWidth="1"/>
    <col min="3851" max="3851" width="13.7109375" style="46" bestFit="1" customWidth="1"/>
    <col min="3852" max="4096" width="8.85546875" style="46"/>
    <col min="4097" max="4097" width="5.28515625" style="46" customWidth="1"/>
    <col min="4098" max="4098" width="36.28515625" style="46" bestFit="1" customWidth="1"/>
    <col min="4099" max="4099" width="7.140625" style="46" bestFit="1" customWidth="1"/>
    <col min="4100" max="4100" width="21.140625" style="46" bestFit="1" customWidth="1"/>
    <col min="4101" max="4101" width="32.7109375" style="46" bestFit="1" customWidth="1"/>
    <col min="4102" max="4102" width="12" style="46" bestFit="1" customWidth="1"/>
    <col min="4103" max="4103" width="10.140625" style="46" customWidth="1"/>
    <col min="4104" max="4104" width="12.5703125" style="46" customWidth="1"/>
    <col min="4105" max="4105" width="11.42578125" style="46" bestFit="1" customWidth="1"/>
    <col min="4106" max="4106" width="12" style="46" bestFit="1" customWidth="1"/>
    <col min="4107" max="4107" width="13.7109375" style="46" bestFit="1" customWidth="1"/>
    <col min="4108" max="4352" width="8.85546875" style="46"/>
    <col min="4353" max="4353" width="5.28515625" style="46" customWidth="1"/>
    <col min="4354" max="4354" width="36.28515625" style="46" bestFit="1" customWidth="1"/>
    <col min="4355" max="4355" width="7.140625" style="46" bestFit="1" customWidth="1"/>
    <col min="4356" max="4356" width="21.140625" style="46" bestFit="1" customWidth="1"/>
    <col min="4357" max="4357" width="32.7109375" style="46" bestFit="1" customWidth="1"/>
    <col min="4358" max="4358" width="12" style="46" bestFit="1" customWidth="1"/>
    <col min="4359" max="4359" width="10.140625" style="46" customWidth="1"/>
    <col min="4360" max="4360" width="12.5703125" style="46" customWidth="1"/>
    <col min="4361" max="4361" width="11.42578125" style="46" bestFit="1" customWidth="1"/>
    <col min="4362" max="4362" width="12" style="46" bestFit="1" customWidth="1"/>
    <col min="4363" max="4363" width="13.7109375" style="46" bestFit="1" customWidth="1"/>
    <col min="4364" max="4608" width="8.85546875" style="46"/>
    <col min="4609" max="4609" width="5.28515625" style="46" customWidth="1"/>
    <col min="4610" max="4610" width="36.28515625" style="46" bestFit="1" customWidth="1"/>
    <col min="4611" max="4611" width="7.140625" style="46" bestFit="1" customWidth="1"/>
    <col min="4612" max="4612" width="21.140625" style="46" bestFit="1" customWidth="1"/>
    <col min="4613" max="4613" width="32.7109375" style="46" bestFit="1" customWidth="1"/>
    <col min="4614" max="4614" width="12" style="46" bestFit="1" customWidth="1"/>
    <col min="4615" max="4615" width="10.140625" style="46" customWidth="1"/>
    <col min="4616" max="4616" width="12.5703125" style="46" customWidth="1"/>
    <col min="4617" max="4617" width="11.42578125" style="46" bestFit="1" customWidth="1"/>
    <col min="4618" max="4618" width="12" style="46" bestFit="1" customWidth="1"/>
    <col min="4619" max="4619" width="13.7109375" style="46" bestFit="1" customWidth="1"/>
    <col min="4620" max="4864" width="8.85546875" style="46"/>
    <col min="4865" max="4865" width="5.28515625" style="46" customWidth="1"/>
    <col min="4866" max="4866" width="36.28515625" style="46" bestFit="1" customWidth="1"/>
    <col min="4867" max="4867" width="7.140625" style="46" bestFit="1" customWidth="1"/>
    <col min="4868" max="4868" width="21.140625" style="46" bestFit="1" customWidth="1"/>
    <col min="4869" max="4869" width="32.7109375" style="46" bestFit="1" customWidth="1"/>
    <col min="4870" max="4870" width="12" style="46" bestFit="1" customWidth="1"/>
    <col min="4871" max="4871" width="10.140625" style="46" customWidth="1"/>
    <col min="4872" max="4872" width="12.5703125" style="46" customWidth="1"/>
    <col min="4873" max="4873" width="11.42578125" style="46" bestFit="1" customWidth="1"/>
    <col min="4874" max="4874" width="12" style="46" bestFit="1" customWidth="1"/>
    <col min="4875" max="4875" width="13.7109375" style="46" bestFit="1" customWidth="1"/>
    <col min="4876" max="5120" width="8.85546875" style="46"/>
    <col min="5121" max="5121" width="5.28515625" style="46" customWidth="1"/>
    <col min="5122" max="5122" width="36.28515625" style="46" bestFit="1" customWidth="1"/>
    <col min="5123" max="5123" width="7.140625" style="46" bestFit="1" customWidth="1"/>
    <col min="5124" max="5124" width="21.140625" style="46" bestFit="1" customWidth="1"/>
    <col min="5125" max="5125" width="32.7109375" style="46" bestFit="1" customWidth="1"/>
    <col min="5126" max="5126" width="12" style="46" bestFit="1" customWidth="1"/>
    <col min="5127" max="5127" width="10.140625" style="46" customWidth="1"/>
    <col min="5128" max="5128" width="12.5703125" style="46" customWidth="1"/>
    <col min="5129" max="5129" width="11.42578125" style="46" bestFit="1" customWidth="1"/>
    <col min="5130" max="5130" width="12" style="46" bestFit="1" customWidth="1"/>
    <col min="5131" max="5131" width="13.7109375" style="46" bestFit="1" customWidth="1"/>
    <col min="5132" max="5376" width="8.85546875" style="46"/>
    <col min="5377" max="5377" width="5.28515625" style="46" customWidth="1"/>
    <col min="5378" max="5378" width="36.28515625" style="46" bestFit="1" customWidth="1"/>
    <col min="5379" max="5379" width="7.140625" style="46" bestFit="1" customWidth="1"/>
    <col min="5380" max="5380" width="21.140625" style="46" bestFit="1" customWidth="1"/>
    <col min="5381" max="5381" width="32.7109375" style="46" bestFit="1" customWidth="1"/>
    <col min="5382" max="5382" width="12" style="46" bestFit="1" customWidth="1"/>
    <col min="5383" max="5383" width="10.140625" style="46" customWidth="1"/>
    <col min="5384" max="5384" width="12.5703125" style="46" customWidth="1"/>
    <col min="5385" max="5385" width="11.42578125" style="46" bestFit="1" customWidth="1"/>
    <col min="5386" max="5386" width="12" style="46" bestFit="1" customWidth="1"/>
    <col min="5387" max="5387" width="13.7109375" style="46" bestFit="1" customWidth="1"/>
    <col min="5388" max="5632" width="8.85546875" style="46"/>
    <col min="5633" max="5633" width="5.28515625" style="46" customWidth="1"/>
    <col min="5634" max="5634" width="36.28515625" style="46" bestFit="1" customWidth="1"/>
    <col min="5635" max="5635" width="7.140625" style="46" bestFit="1" customWidth="1"/>
    <col min="5636" max="5636" width="21.140625" style="46" bestFit="1" customWidth="1"/>
    <col min="5637" max="5637" width="32.7109375" style="46" bestFit="1" customWidth="1"/>
    <col min="5638" max="5638" width="12" style="46" bestFit="1" customWidth="1"/>
    <col min="5639" max="5639" width="10.140625" style="46" customWidth="1"/>
    <col min="5640" max="5640" width="12.5703125" style="46" customWidth="1"/>
    <col min="5641" max="5641" width="11.42578125" style="46" bestFit="1" customWidth="1"/>
    <col min="5642" max="5642" width="12" style="46" bestFit="1" customWidth="1"/>
    <col min="5643" max="5643" width="13.7109375" style="46" bestFit="1" customWidth="1"/>
    <col min="5644" max="5888" width="8.85546875" style="46"/>
    <col min="5889" max="5889" width="5.28515625" style="46" customWidth="1"/>
    <col min="5890" max="5890" width="36.28515625" style="46" bestFit="1" customWidth="1"/>
    <col min="5891" max="5891" width="7.140625" style="46" bestFit="1" customWidth="1"/>
    <col min="5892" max="5892" width="21.140625" style="46" bestFit="1" customWidth="1"/>
    <col min="5893" max="5893" width="32.7109375" style="46" bestFit="1" customWidth="1"/>
    <col min="5894" max="5894" width="12" style="46" bestFit="1" customWidth="1"/>
    <col min="5895" max="5895" width="10.140625" style="46" customWidth="1"/>
    <col min="5896" max="5896" width="12.5703125" style="46" customWidth="1"/>
    <col min="5897" max="5897" width="11.42578125" style="46" bestFit="1" customWidth="1"/>
    <col min="5898" max="5898" width="12" style="46" bestFit="1" customWidth="1"/>
    <col min="5899" max="5899" width="13.7109375" style="46" bestFit="1" customWidth="1"/>
    <col min="5900" max="6144" width="8.85546875" style="46"/>
    <col min="6145" max="6145" width="5.28515625" style="46" customWidth="1"/>
    <col min="6146" max="6146" width="36.28515625" style="46" bestFit="1" customWidth="1"/>
    <col min="6147" max="6147" width="7.140625" style="46" bestFit="1" customWidth="1"/>
    <col min="6148" max="6148" width="21.140625" style="46" bestFit="1" customWidth="1"/>
    <col min="6149" max="6149" width="32.7109375" style="46" bestFit="1" customWidth="1"/>
    <col min="6150" max="6150" width="12" style="46" bestFit="1" customWidth="1"/>
    <col min="6151" max="6151" width="10.140625" style="46" customWidth="1"/>
    <col min="6152" max="6152" width="12.5703125" style="46" customWidth="1"/>
    <col min="6153" max="6153" width="11.42578125" style="46" bestFit="1" customWidth="1"/>
    <col min="6154" max="6154" width="12" style="46" bestFit="1" customWidth="1"/>
    <col min="6155" max="6155" width="13.7109375" style="46" bestFit="1" customWidth="1"/>
    <col min="6156" max="6400" width="8.85546875" style="46"/>
    <col min="6401" max="6401" width="5.28515625" style="46" customWidth="1"/>
    <col min="6402" max="6402" width="36.28515625" style="46" bestFit="1" customWidth="1"/>
    <col min="6403" max="6403" width="7.140625" style="46" bestFit="1" customWidth="1"/>
    <col min="6404" max="6404" width="21.140625" style="46" bestFit="1" customWidth="1"/>
    <col min="6405" max="6405" width="32.7109375" style="46" bestFit="1" customWidth="1"/>
    <col min="6406" max="6406" width="12" style="46" bestFit="1" customWidth="1"/>
    <col min="6407" max="6407" width="10.140625" style="46" customWidth="1"/>
    <col min="6408" max="6408" width="12.5703125" style="46" customWidth="1"/>
    <col min="6409" max="6409" width="11.42578125" style="46" bestFit="1" customWidth="1"/>
    <col min="6410" max="6410" width="12" style="46" bestFit="1" customWidth="1"/>
    <col min="6411" max="6411" width="13.7109375" style="46" bestFit="1" customWidth="1"/>
    <col min="6412" max="6656" width="8.85546875" style="46"/>
    <col min="6657" max="6657" width="5.28515625" style="46" customWidth="1"/>
    <col min="6658" max="6658" width="36.28515625" style="46" bestFit="1" customWidth="1"/>
    <col min="6659" max="6659" width="7.140625" style="46" bestFit="1" customWidth="1"/>
    <col min="6660" max="6660" width="21.140625" style="46" bestFit="1" customWidth="1"/>
    <col min="6661" max="6661" width="32.7109375" style="46" bestFit="1" customWidth="1"/>
    <col min="6662" max="6662" width="12" style="46" bestFit="1" customWidth="1"/>
    <col min="6663" max="6663" width="10.140625" style="46" customWidth="1"/>
    <col min="6664" max="6664" width="12.5703125" style="46" customWidth="1"/>
    <col min="6665" max="6665" width="11.42578125" style="46" bestFit="1" customWidth="1"/>
    <col min="6666" max="6666" width="12" style="46" bestFit="1" customWidth="1"/>
    <col min="6667" max="6667" width="13.7109375" style="46" bestFit="1" customWidth="1"/>
    <col min="6668" max="6912" width="8.85546875" style="46"/>
    <col min="6913" max="6913" width="5.28515625" style="46" customWidth="1"/>
    <col min="6914" max="6914" width="36.28515625" style="46" bestFit="1" customWidth="1"/>
    <col min="6915" max="6915" width="7.140625" style="46" bestFit="1" customWidth="1"/>
    <col min="6916" max="6916" width="21.140625" style="46" bestFit="1" customWidth="1"/>
    <col min="6917" max="6917" width="32.7109375" style="46" bestFit="1" customWidth="1"/>
    <col min="6918" max="6918" width="12" style="46" bestFit="1" customWidth="1"/>
    <col min="6919" max="6919" width="10.140625" style="46" customWidth="1"/>
    <col min="6920" max="6920" width="12.5703125" style="46" customWidth="1"/>
    <col min="6921" max="6921" width="11.42578125" style="46" bestFit="1" customWidth="1"/>
    <col min="6922" max="6922" width="12" style="46" bestFit="1" customWidth="1"/>
    <col min="6923" max="6923" width="13.7109375" style="46" bestFit="1" customWidth="1"/>
    <col min="6924" max="7168" width="8.85546875" style="46"/>
    <col min="7169" max="7169" width="5.28515625" style="46" customWidth="1"/>
    <col min="7170" max="7170" width="36.28515625" style="46" bestFit="1" customWidth="1"/>
    <col min="7171" max="7171" width="7.140625" style="46" bestFit="1" customWidth="1"/>
    <col min="7172" max="7172" width="21.140625" style="46" bestFit="1" customWidth="1"/>
    <col min="7173" max="7173" width="32.7109375" style="46" bestFit="1" customWidth="1"/>
    <col min="7174" max="7174" width="12" style="46" bestFit="1" customWidth="1"/>
    <col min="7175" max="7175" width="10.140625" style="46" customWidth="1"/>
    <col min="7176" max="7176" width="12.5703125" style="46" customWidth="1"/>
    <col min="7177" max="7177" width="11.42578125" style="46" bestFit="1" customWidth="1"/>
    <col min="7178" max="7178" width="12" style="46" bestFit="1" customWidth="1"/>
    <col min="7179" max="7179" width="13.7109375" style="46" bestFit="1" customWidth="1"/>
    <col min="7180" max="7424" width="8.85546875" style="46"/>
    <col min="7425" max="7425" width="5.28515625" style="46" customWidth="1"/>
    <col min="7426" max="7426" width="36.28515625" style="46" bestFit="1" customWidth="1"/>
    <col min="7427" max="7427" width="7.140625" style="46" bestFit="1" customWidth="1"/>
    <col min="7428" max="7428" width="21.140625" style="46" bestFit="1" customWidth="1"/>
    <col min="7429" max="7429" width="32.7109375" style="46" bestFit="1" customWidth="1"/>
    <col min="7430" max="7430" width="12" style="46" bestFit="1" customWidth="1"/>
    <col min="7431" max="7431" width="10.140625" style="46" customWidth="1"/>
    <col min="7432" max="7432" width="12.5703125" style="46" customWidth="1"/>
    <col min="7433" max="7433" width="11.42578125" style="46" bestFit="1" customWidth="1"/>
    <col min="7434" max="7434" width="12" style="46" bestFit="1" customWidth="1"/>
    <col min="7435" max="7435" width="13.7109375" style="46" bestFit="1" customWidth="1"/>
    <col min="7436" max="7680" width="8.85546875" style="46"/>
    <col min="7681" max="7681" width="5.28515625" style="46" customWidth="1"/>
    <col min="7682" max="7682" width="36.28515625" style="46" bestFit="1" customWidth="1"/>
    <col min="7683" max="7683" width="7.140625" style="46" bestFit="1" customWidth="1"/>
    <col min="7684" max="7684" width="21.140625" style="46" bestFit="1" customWidth="1"/>
    <col min="7685" max="7685" width="32.7109375" style="46" bestFit="1" customWidth="1"/>
    <col min="7686" max="7686" width="12" style="46" bestFit="1" customWidth="1"/>
    <col min="7687" max="7687" width="10.140625" style="46" customWidth="1"/>
    <col min="7688" max="7688" width="12.5703125" style="46" customWidth="1"/>
    <col min="7689" max="7689" width="11.42578125" style="46" bestFit="1" customWidth="1"/>
    <col min="7690" max="7690" width="12" style="46" bestFit="1" customWidth="1"/>
    <col min="7691" max="7691" width="13.7109375" style="46" bestFit="1" customWidth="1"/>
    <col min="7692" max="7936" width="8.85546875" style="46"/>
    <col min="7937" max="7937" width="5.28515625" style="46" customWidth="1"/>
    <col min="7938" max="7938" width="36.28515625" style="46" bestFit="1" customWidth="1"/>
    <col min="7939" max="7939" width="7.140625" style="46" bestFit="1" customWidth="1"/>
    <col min="7940" max="7940" width="21.140625" style="46" bestFit="1" customWidth="1"/>
    <col min="7941" max="7941" width="32.7109375" style="46" bestFit="1" customWidth="1"/>
    <col min="7942" max="7942" width="12" style="46" bestFit="1" customWidth="1"/>
    <col min="7943" max="7943" width="10.140625" style="46" customWidth="1"/>
    <col min="7944" max="7944" width="12.5703125" style="46" customWidth="1"/>
    <col min="7945" max="7945" width="11.42578125" style="46" bestFit="1" customWidth="1"/>
    <col min="7946" max="7946" width="12" style="46" bestFit="1" customWidth="1"/>
    <col min="7947" max="7947" width="13.7109375" style="46" bestFit="1" customWidth="1"/>
    <col min="7948" max="8192" width="8.85546875" style="46"/>
    <col min="8193" max="8193" width="5.28515625" style="46" customWidth="1"/>
    <col min="8194" max="8194" width="36.28515625" style="46" bestFit="1" customWidth="1"/>
    <col min="8195" max="8195" width="7.140625" style="46" bestFit="1" customWidth="1"/>
    <col min="8196" max="8196" width="21.140625" style="46" bestFit="1" customWidth="1"/>
    <col min="8197" max="8197" width="32.7109375" style="46" bestFit="1" customWidth="1"/>
    <col min="8198" max="8198" width="12" style="46" bestFit="1" customWidth="1"/>
    <col min="8199" max="8199" width="10.140625" style="46" customWidth="1"/>
    <col min="8200" max="8200" width="12.5703125" style="46" customWidth="1"/>
    <col min="8201" max="8201" width="11.42578125" style="46" bestFit="1" customWidth="1"/>
    <col min="8202" max="8202" width="12" style="46" bestFit="1" customWidth="1"/>
    <col min="8203" max="8203" width="13.7109375" style="46" bestFit="1" customWidth="1"/>
    <col min="8204" max="8448" width="8.85546875" style="46"/>
    <col min="8449" max="8449" width="5.28515625" style="46" customWidth="1"/>
    <col min="8450" max="8450" width="36.28515625" style="46" bestFit="1" customWidth="1"/>
    <col min="8451" max="8451" width="7.140625" style="46" bestFit="1" customWidth="1"/>
    <col min="8452" max="8452" width="21.140625" style="46" bestFit="1" customWidth="1"/>
    <col min="8453" max="8453" width="32.7109375" style="46" bestFit="1" customWidth="1"/>
    <col min="8454" max="8454" width="12" style="46" bestFit="1" customWidth="1"/>
    <col min="8455" max="8455" width="10.140625" style="46" customWidth="1"/>
    <col min="8456" max="8456" width="12.5703125" style="46" customWidth="1"/>
    <col min="8457" max="8457" width="11.42578125" style="46" bestFit="1" customWidth="1"/>
    <col min="8458" max="8458" width="12" style="46" bestFit="1" customWidth="1"/>
    <col min="8459" max="8459" width="13.7109375" style="46" bestFit="1" customWidth="1"/>
    <col min="8460" max="8704" width="8.85546875" style="46"/>
    <col min="8705" max="8705" width="5.28515625" style="46" customWidth="1"/>
    <col min="8706" max="8706" width="36.28515625" style="46" bestFit="1" customWidth="1"/>
    <col min="8707" max="8707" width="7.140625" style="46" bestFit="1" customWidth="1"/>
    <col min="8708" max="8708" width="21.140625" style="46" bestFit="1" customWidth="1"/>
    <col min="8709" max="8709" width="32.7109375" style="46" bestFit="1" customWidth="1"/>
    <col min="8710" max="8710" width="12" style="46" bestFit="1" customWidth="1"/>
    <col min="8711" max="8711" width="10.140625" style="46" customWidth="1"/>
    <col min="8712" max="8712" width="12.5703125" style="46" customWidth="1"/>
    <col min="8713" max="8713" width="11.42578125" style="46" bestFit="1" customWidth="1"/>
    <col min="8714" max="8714" width="12" style="46" bestFit="1" customWidth="1"/>
    <col min="8715" max="8715" width="13.7109375" style="46" bestFit="1" customWidth="1"/>
    <col min="8716" max="8960" width="8.85546875" style="46"/>
    <col min="8961" max="8961" width="5.28515625" style="46" customWidth="1"/>
    <col min="8962" max="8962" width="36.28515625" style="46" bestFit="1" customWidth="1"/>
    <col min="8963" max="8963" width="7.140625" style="46" bestFit="1" customWidth="1"/>
    <col min="8964" max="8964" width="21.140625" style="46" bestFit="1" customWidth="1"/>
    <col min="8965" max="8965" width="32.7109375" style="46" bestFit="1" customWidth="1"/>
    <col min="8966" max="8966" width="12" style="46" bestFit="1" customWidth="1"/>
    <col min="8967" max="8967" width="10.140625" style="46" customWidth="1"/>
    <col min="8968" max="8968" width="12.5703125" style="46" customWidth="1"/>
    <col min="8969" max="8969" width="11.42578125" style="46" bestFit="1" customWidth="1"/>
    <col min="8970" max="8970" width="12" style="46" bestFit="1" customWidth="1"/>
    <col min="8971" max="8971" width="13.7109375" style="46" bestFit="1" customWidth="1"/>
    <col min="8972" max="9216" width="8.85546875" style="46"/>
    <col min="9217" max="9217" width="5.28515625" style="46" customWidth="1"/>
    <col min="9218" max="9218" width="36.28515625" style="46" bestFit="1" customWidth="1"/>
    <col min="9219" max="9219" width="7.140625" style="46" bestFit="1" customWidth="1"/>
    <col min="9220" max="9220" width="21.140625" style="46" bestFit="1" customWidth="1"/>
    <col min="9221" max="9221" width="32.7109375" style="46" bestFit="1" customWidth="1"/>
    <col min="9222" max="9222" width="12" style="46" bestFit="1" customWidth="1"/>
    <col min="9223" max="9223" width="10.140625" style="46" customWidth="1"/>
    <col min="9224" max="9224" width="12.5703125" style="46" customWidth="1"/>
    <col min="9225" max="9225" width="11.42578125" style="46" bestFit="1" customWidth="1"/>
    <col min="9226" max="9226" width="12" style="46" bestFit="1" customWidth="1"/>
    <col min="9227" max="9227" width="13.7109375" style="46" bestFit="1" customWidth="1"/>
    <col min="9228" max="9472" width="8.85546875" style="46"/>
    <col min="9473" max="9473" width="5.28515625" style="46" customWidth="1"/>
    <col min="9474" max="9474" width="36.28515625" style="46" bestFit="1" customWidth="1"/>
    <col min="9475" max="9475" width="7.140625" style="46" bestFit="1" customWidth="1"/>
    <col min="9476" max="9476" width="21.140625" style="46" bestFit="1" customWidth="1"/>
    <col min="9477" max="9477" width="32.7109375" style="46" bestFit="1" customWidth="1"/>
    <col min="9478" max="9478" width="12" style="46" bestFit="1" customWidth="1"/>
    <col min="9479" max="9479" width="10.140625" style="46" customWidth="1"/>
    <col min="9480" max="9480" width="12.5703125" style="46" customWidth="1"/>
    <col min="9481" max="9481" width="11.42578125" style="46" bestFit="1" customWidth="1"/>
    <col min="9482" max="9482" width="12" style="46" bestFit="1" customWidth="1"/>
    <col min="9483" max="9483" width="13.7109375" style="46" bestFit="1" customWidth="1"/>
    <col min="9484" max="9728" width="8.85546875" style="46"/>
    <col min="9729" max="9729" width="5.28515625" style="46" customWidth="1"/>
    <col min="9730" max="9730" width="36.28515625" style="46" bestFit="1" customWidth="1"/>
    <col min="9731" max="9731" width="7.140625" style="46" bestFit="1" customWidth="1"/>
    <col min="9732" max="9732" width="21.140625" style="46" bestFit="1" customWidth="1"/>
    <col min="9733" max="9733" width="32.7109375" style="46" bestFit="1" customWidth="1"/>
    <col min="9734" max="9734" width="12" style="46" bestFit="1" customWidth="1"/>
    <col min="9735" max="9735" width="10.140625" style="46" customWidth="1"/>
    <col min="9736" max="9736" width="12.5703125" style="46" customWidth="1"/>
    <col min="9737" max="9737" width="11.42578125" style="46" bestFit="1" customWidth="1"/>
    <col min="9738" max="9738" width="12" style="46" bestFit="1" customWidth="1"/>
    <col min="9739" max="9739" width="13.7109375" style="46" bestFit="1" customWidth="1"/>
    <col min="9740" max="9984" width="8.85546875" style="46"/>
    <col min="9985" max="9985" width="5.28515625" style="46" customWidth="1"/>
    <col min="9986" max="9986" width="36.28515625" style="46" bestFit="1" customWidth="1"/>
    <col min="9987" max="9987" width="7.140625" style="46" bestFit="1" customWidth="1"/>
    <col min="9988" max="9988" width="21.140625" style="46" bestFit="1" customWidth="1"/>
    <col min="9989" max="9989" width="32.7109375" style="46" bestFit="1" customWidth="1"/>
    <col min="9990" max="9990" width="12" style="46" bestFit="1" customWidth="1"/>
    <col min="9991" max="9991" width="10.140625" style="46" customWidth="1"/>
    <col min="9992" max="9992" width="12.5703125" style="46" customWidth="1"/>
    <col min="9993" max="9993" width="11.42578125" style="46" bestFit="1" customWidth="1"/>
    <col min="9994" max="9994" width="12" style="46" bestFit="1" customWidth="1"/>
    <col min="9995" max="9995" width="13.7109375" style="46" bestFit="1" customWidth="1"/>
    <col min="9996" max="10240" width="8.85546875" style="46"/>
    <col min="10241" max="10241" width="5.28515625" style="46" customWidth="1"/>
    <col min="10242" max="10242" width="36.28515625" style="46" bestFit="1" customWidth="1"/>
    <col min="10243" max="10243" width="7.140625" style="46" bestFit="1" customWidth="1"/>
    <col min="10244" max="10244" width="21.140625" style="46" bestFit="1" customWidth="1"/>
    <col min="10245" max="10245" width="32.7109375" style="46" bestFit="1" customWidth="1"/>
    <col min="10246" max="10246" width="12" style="46" bestFit="1" customWidth="1"/>
    <col min="10247" max="10247" width="10.140625" style="46" customWidth="1"/>
    <col min="10248" max="10248" width="12.5703125" style="46" customWidth="1"/>
    <col min="10249" max="10249" width="11.42578125" style="46" bestFit="1" customWidth="1"/>
    <col min="10250" max="10250" width="12" style="46" bestFit="1" customWidth="1"/>
    <col min="10251" max="10251" width="13.7109375" style="46" bestFit="1" customWidth="1"/>
    <col min="10252" max="10496" width="8.85546875" style="46"/>
    <col min="10497" max="10497" width="5.28515625" style="46" customWidth="1"/>
    <col min="10498" max="10498" width="36.28515625" style="46" bestFit="1" customWidth="1"/>
    <col min="10499" max="10499" width="7.140625" style="46" bestFit="1" customWidth="1"/>
    <col min="10500" max="10500" width="21.140625" style="46" bestFit="1" customWidth="1"/>
    <col min="10501" max="10501" width="32.7109375" style="46" bestFit="1" customWidth="1"/>
    <col min="10502" max="10502" width="12" style="46" bestFit="1" customWidth="1"/>
    <col min="10503" max="10503" width="10.140625" style="46" customWidth="1"/>
    <col min="10504" max="10504" width="12.5703125" style="46" customWidth="1"/>
    <col min="10505" max="10505" width="11.42578125" style="46" bestFit="1" customWidth="1"/>
    <col min="10506" max="10506" width="12" style="46" bestFit="1" customWidth="1"/>
    <col min="10507" max="10507" width="13.7109375" style="46" bestFit="1" customWidth="1"/>
    <col min="10508" max="10752" width="8.85546875" style="46"/>
    <col min="10753" max="10753" width="5.28515625" style="46" customWidth="1"/>
    <col min="10754" max="10754" width="36.28515625" style="46" bestFit="1" customWidth="1"/>
    <col min="10755" max="10755" width="7.140625" style="46" bestFit="1" customWidth="1"/>
    <col min="10756" max="10756" width="21.140625" style="46" bestFit="1" customWidth="1"/>
    <col min="10757" max="10757" width="32.7109375" style="46" bestFit="1" customWidth="1"/>
    <col min="10758" max="10758" width="12" style="46" bestFit="1" customWidth="1"/>
    <col min="10759" max="10759" width="10.140625" style="46" customWidth="1"/>
    <col min="10760" max="10760" width="12.5703125" style="46" customWidth="1"/>
    <col min="10761" max="10761" width="11.42578125" style="46" bestFit="1" customWidth="1"/>
    <col min="10762" max="10762" width="12" style="46" bestFit="1" customWidth="1"/>
    <col min="10763" max="10763" width="13.7109375" style="46" bestFit="1" customWidth="1"/>
    <col min="10764" max="11008" width="8.85546875" style="46"/>
    <col min="11009" max="11009" width="5.28515625" style="46" customWidth="1"/>
    <col min="11010" max="11010" width="36.28515625" style="46" bestFit="1" customWidth="1"/>
    <col min="11011" max="11011" width="7.140625" style="46" bestFit="1" customWidth="1"/>
    <col min="11012" max="11012" width="21.140625" style="46" bestFit="1" customWidth="1"/>
    <col min="11013" max="11013" width="32.7109375" style="46" bestFit="1" customWidth="1"/>
    <col min="11014" max="11014" width="12" style="46" bestFit="1" customWidth="1"/>
    <col min="11015" max="11015" width="10.140625" style="46" customWidth="1"/>
    <col min="11016" max="11016" width="12.5703125" style="46" customWidth="1"/>
    <col min="11017" max="11017" width="11.42578125" style="46" bestFit="1" customWidth="1"/>
    <col min="11018" max="11018" width="12" style="46" bestFit="1" customWidth="1"/>
    <col min="11019" max="11019" width="13.7109375" style="46" bestFit="1" customWidth="1"/>
    <col min="11020" max="11264" width="8.85546875" style="46"/>
    <col min="11265" max="11265" width="5.28515625" style="46" customWidth="1"/>
    <col min="11266" max="11266" width="36.28515625" style="46" bestFit="1" customWidth="1"/>
    <col min="11267" max="11267" width="7.140625" style="46" bestFit="1" customWidth="1"/>
    <col min="11268" max="11268" width="21.140625" style="46" bestFit="1" customWidth="1"/>
    <col min="11269" max="11269" width="32.7109375" style="46" bestFit="1" customWidth="1"/>
    <col min="11270" max="11270" width="12" style="46" bestFit="1" customWidth="1"/>
    <col min="11271" max="11271" width="10.140625" style="46" customWidth="1"/>
    <col min="11272" max="11272" width="12.5703125" style="46" customWidth="1"/>
    <col min="11273" max="11273" width="11.42578125" style="46" bestFit="1" customWidth="1"/>
    <col min="11274" max="11274" width="12" style="46" bestFit="1" customWidth="1"/>
    <col min="11275" max="11275" width="13.7109375" style="46" bestFit="1" customWidth="1"/>
    <col min="11276" max="11520" width="8.85546875" style="46"/>
    <col min="11521" max="11521" width="5.28515625" style="46" customWidth="1"/>
    <col min="11522" max="11522" width="36.28515625" style="46" bestFit="1" customWidth="1"/>
    <col min="11523" max="11523" width="7.140625" style="46" bestFit="1" customWidth="1"/>
    <col min="11524" max="11524" width="21.140625" style="46" bestFit="1" customWidth="1"/>
    <col min="11525" max="11525" width="32.7109375" style="46" bestFit="1" customWidth="1"/>
    <col min="11526" max="11526" width="12" style="46" bestFit="1" customWidth="1"/>
    <col min="11527" max="11527" width="10.140625" style="46" customWidth="1"/>
    <col min="11528" max="11528" width="12.5703125" style="46" customWidth="1"/>
    <col min="11529" max="11529" width="11.42578125" style="46" bestFit="1" customWidth="1"/>
    <col min="11530" max="11530" width="12" style="46" bestFit="1" customWidth="1"/>
    <col min="11531" max="11531" width="13.7109375" style="46" bestFit="1" customWidth="1"/>
    <col min="11532" max="11776" width="8.85546875" style="46"/>
    <col min="11777" max="11777" width="5.28515625" style="46" customWidth="1"/>
    <col min="11778" max="11778" width="36.28515625" style="46" bestFit="1" customWidth="1"/>
    <col min="11779" max="11779" width="7.140625" style="46" bestFit="1" customWidth="1"/>
    <col min="11780" max="11780" width="21.140625" style="46" bestFit="1" customWidth="1"/>
    <col min="11781" max="11781" width="32.7109375" style="46" bestFit="1" customWidth="1"/>
    <col min="11782" max="11782" width="12" style="46" bestFit="1" customWidth="1"/>
    <col min="11783" max="11783" width="10.140625" style="46" customWidth="1"/>
    <col min="11784" max="11784" width="12.5703125" style="46" customWidth="1"/>
    <col min="11785" max="11785" width="11.42578125" style="46" bestFit="1" customWidth="1"/>
    <col min="11786" max="11786" width="12" style="46" bestFit="1" customWidth="1"/>
    <col min="11787" max="11787" width="13.7109375" style="46" bestFit="1" customWidth="1"/>
    <col min="11788" max="12032" width="8.85546875" style="46"/>
    <col min="12033" max="12033" width="5.28515625" style="46" customWidth="1"/>
    <col min="12034" max="12034" width="36.28515625" style="46" bestFit="1" customWidth="1"/>
    <col min="12035" max="12035" width="7.140625" style="46" bestFit="1" customWidth="1"/>
    <col min="12036" max="12036" width="21.140625" style="46" bestFit="1" customWidth="1"/>
    <col min="12037" max="12037" width="32.7109375" style="46" bestFit="1" customWidth="1"/>
    <col min="12038" max="12038" width="12" style="46" bestFit="1" customWidth="1"/>
    <col min="12039" max="12039" width="10.140625" style="46" customWidth="1"/>
    <col min="12040" max="12040" width="12.5703125" style="46" customWidth="1"/>
    <col min="12041" max="12041" width="11.42578125" style="46" bestFit="1" customWidth="1"/>
    <col min="12042" max="12042" width="12" style="46" bestFit="1" customWidth="1"/>
    <col min="12043" max="12043" width="13.7109375" style="46" bestFit="1" customWidth="1"/>
    <col min="12044" max="12288" width="8.85546875" style="46"/>
    <col min="12289" max="12289" width="5.28515625" style="46" customWidth="1"/>
    <col min="12290" max="12290" width="36.28515625" style="46" bestFit="1" customWidth="1"/>
    <col min="12291" max="12291" width="7.140625" style="46" bestFit="1" customWidth="1"/>
    <col min="12292" max="12292" width="21.140625" style="46" bestFit="1" customWidth="1"/>
    <col min="12293" max="12293" width="32.7109375" style="46" bestFit="1" customWidth="1"/>
    <col min="12294" max="12294" width="12" style="46" bestFit="1" customWidth="1"/>
    <col min="12295" max="12295" width="10.140625" style="46" customWidth="1"/>
    <col min="12296" max="12296" width="12.5703125" style="46" customWidth="1"/>
    <col min="12297" max="12297" width="11.42578125" style="46" bestFit="1" customWidth="1"/>
    <col min="12298" max="12298" width="12" style="46" bestFit="1" customWidth="1"/>
    <col min="12299" max="12299" width="13.7109375" style="46" bestFit="1" customWidth="1"/>
    <col min="12300" max="12544" width="8.85546875" style="46"/>
    <col min="12545" max="12545" width="5.28515625" style="46" customWidth="1"/>
    <col min="12546" max="12546" width="36.28515625" style="46" bestFit="1" customWidth="1"/>
    <col min="12547" max="12547" width="7.140625" style="46" bestFit="1" customWidth="1"/>
    <col min="12548" max="12548" width="21.140625" style="46" bestFit="1" customWidth="1"/>
    <col min="12549" max="12549" width="32.7109375" style="46" bestFit="1" customWidth="1"/>
    <col min="12550" max="12550" width="12" style="46" bestFit="1" customWidth="1"/>
    <col min="12551" max="12551" width="10.140625" style="46" customWidth="1"/>
    <col min="12552" max="12552" width="12.5703125" style="46" customWidth="1"/>
    <col min="12553" max="12553" width="11.42578125" style="46" bestFit="1" customWidth="1"/>
    <col min="12554" max="12554" width="12" style="46" bestFit="1" customWidth="1"/>
    <col min="12555" max="12555" width="13.7109375" style="46" bestFit="1" customWidth="1"/>
    <col min="12556" max="12800" width="8.85546875" style="46"/>
    <col min="12801" max="12801" width="5.28515625" style="46" customWidth="1"/>
    <col min="12802" max="12802" width="36.28515625" style="46" bestFit="1" customWidth="1"/>
    <col min="12803" max="12803" width="7.140625" style="46" bestFit="1" customWidth="1"/>
    <col min="12804" max="12804" width="21.140625" style="46" bestFit="1" customWidth="1"/>
    <col min="12805" max="12805" width="32.7109375" style="46" bestFit="1" customWidth="1"/>
    <col min="12806" max="12806" width="12" style="46" bestFit="1" customWidth="1"/>
    <col min="12807" max="12807" width="10.140625" style="46" customWidth="1"/>
    <col min="12808" max="12808" width="12.5703125" style="46" customWidth="1"/>
    <col min="12809" max="12809" width="11.42578125" style="46" bestFit="1" customWidth="1"/>
    <col min="12810" max="12810" width="12" style="46" bestFit="1" customWidth="1"/>
    <col min="12811" max="12811" width="13.7109375" style="46" bestFit="1" customWidth="1"/>
    <col min="12812" max="13056" width="8.85546875" style="46"/>
    <col min="13057" max="13057" width="5.28515625" style="46" customWidth="1"/>
    <col min="13058" max="13058" width="36.28515625" style="46" bestFit="1" customWidth="1"/>
    <col min="13059" max="13059" width="7.140625" style="46" bestFit="1" customWidth="1"/>
    <col min="13060" max="13060" width="21.140625" style="46" bestFit="1" customWidth="1"/>
    <col min="13061" max="13061" width="32.7109375" style="46" bestFit="1" customWidth="1"/>
    <col min="13062" max="13062" width="12" style="46" bestFit="1" customWidth="1"/>
    <col min="13063" max="13063" width="10.140625" style="46" customWidth="1"/>
    <col min="13064" max="13064" width="12.5703125" style="46" customWidth="1"/>
    <col min="13065" max="13065" width="11.42578125" style="46" bestFit="1" customWidth="1"/>
    <col min="13066" max="13066" width="12" style="46" bestFit="1" customWidth="1"/>
    <col min="13067" max="13067" width="13.7109375" style="46" bestFit="1" customWidth="1"/>
    <col min="13068" max="13312" width="8.85546875" style="46"/>
    <col min="13313" max="13313" width="5.28515625" style="46" customWidth="1"/>
    <col min="13314" max="13314" width="36.28515625" style="46" bestFit="1" customWidth="1"/>
    <col min="13315" max="13315" width="7.140625" style="46" bestFit="1" customWidth="1"/>
    <col min="13316" max="13316" width="21.140625" style="46" bestFit="1" customWidth="1"/>
    <col min="13317" max="13317" width="32.7109375" style="46" bestFit="1" customWidth="1"/>
    <col min="13318" max="13318" width="12" style="46" bestFit="1" customWidth="1"/>
    <col min="13319" max="13319" width="10.140625" style="46" customWidth="1"/>
    <col min="13320" max="13320" width="12.5703125" style="46" customWidth="1"/>
    <col min="13321" max="13321" width="11.42578125" style="46" bestFit="1" customWidth="1"/>
    <col min="13322" max="13322" width="12" style="46" bestFit="1" customWidth="1"/>
    <col min="13323" max="13323" width="13.7109375" style="46" bestFit="1" customWidth="1"/>
    <col min="13324" max="13568" width="8.85546875" style="46"/>
    <col min="13569" max="13569" width="5.28515625" style="46" customWidth="1"/>
    <col min="13570" max="13570" width="36.28515625" style="46" bestFit="1" customWidth="1"/>
    <col min="13571" max="13571" width="7.140625" style="46" bestFit="1" customWidth="1"/>
    <col min="13572" max="13572" width="21.140625" style="46" bestFit="1" customWidth="1"/>
    <col min="13573" max="13573" width="32.7109375" style="46" bestFit="1" customWidth="1"/>
    <col min="13574" max="13574" width="12" style="46" bestFit="1" customWidth="1"/>
    <col min="13575" max="13575" width="10.140625" style="46" customWidth="1"/>
    <col min="13576" max="13576" width="12.5703125" style="46" customWidth="1"/>
    <col min="13577" max="13577" width="11.42578125" style="46" bestFit="1" customWidth="1"/>
    <col min="13578" max="13578" width="12" style="46" bestFit="1" customWidth="1"/>
    <col min="13579" max="13579" width="13.7109375" style="46" bestFit="1" customWidth="1"/>
    <col min="13580" max="13824" width="8.85546875" style="46"/>
    <col min="13825" max="13825" width="5.28515625" style="46" customWidth="1"/>
    <col min="13826" max="13826" width="36.28515625" style="46" bestFit="1" customWidth="1"/>
    <col min="13827" max="13827" width="7.140625" style="46" bestFit="1" customWidth="1"/>
    <col min="13828" max="13828" width="21.140625" style="46" bestFit="1" customWidth="1"/>
    <col min="13829" max="13829" width="32.7109375" style="46" bestFit="1" customWidth="1"/>
    <col min="13830" max="13830" width="12" style="46" bestFit="1" customWidth="1"/>
    <col min="13831" max="13831" width="10.140625" style="46" customWidth="1"/>
    <col min="13832" max="13832" width="12.5703125" style="46" customWidth="1"/>
    <col min="13833" max="13833" width="11.42578125" style="46" bestFit="1" customWidth="1"/>
    <col min="13834" max="13834" width="12" style="46" bestFit="1" customWidth="1"/>
    <col min="13835" max="13835" width="13.7109375" style="46" bestFit="1" customWidth="1"/>
    <col min="13836" max="14080" width="8.85546875" style="46"/>
    <col min="14081" max="14081" width="5.28515625" style="46" customWidth="1"/>
    <col min="14082" max="14082" width="36.28515625" style="46" bestFit="1" customWidth="1"/>
    <col min="14083" max="14083" width="7.140625" style="46" bestFit="1" customWidth="1"/>
    <col min="14084" max="14084" width="21.140625" style="46" bestFit="1" customWidth="1"/>
    <col min="14085" max="14085" width="32.7109375" style="46" bestFit="1" customWidth="1"/>
    <col min="14086" max="14086" width="12" style="46" bestFit="1" customWidth="1"/>
    <col min="14087" max="14087" width="10.140625" style="46" customWidth="1"/>
    <col min="14088" max="14088" width="12.5703125" style="46" customWidth="1"/>
    <col min="14089" max="14089" width="11.42578125" style="46" bestFit="1" customWidth="1"/>
    <col min="14090" max="14090" width="12" style="46" bestFit="1" customWidth="1"/>
    <col min="14091" max="14091" width="13.7109375" style="46" bestFit="1" customWidth="1"/>
    <col min="14092" max="14336" width="8.85546875" style="46"/>
    <col min="14337" max="14337" width="5.28515625" style="46" customWidth="1"/>
    <col min="14338" max="14338" width="36.28515625" style="46" bestFit="1" customWidth="1"/>
    <col min="14339" max="14339" width="7.140625" style="46" bestFit="1" customWidth="1"/>
    <col min="14340" max="14340" width="21.140625" style="46" bestFit="1" customWidth="1"/>
    <col min="14341" max="14341" width="32.7109375" style="46" bestFit="1" customWidth="1"/>
    <col min="14342" max="14342" width="12" style="46" bestFit="1" customWidth="1"/>
    <col min="14343" max="14343" width="10.140625" style="46" customWidth="1"/>
    <col min="14344" max="14344" width="12.5703125" style="46" customWidth="1"/>
    <col min="14345" max="14345" width="11.42578125" style="46" bestFit="1" customWidth="1"/>
    <col min="14346" max="14346" width="12" style="46" bestFit="1" customWidth="1"/>
    <col min="14347" max="14347" width="13.7109375" style="46" bestFit="1" customWidth="1"/>
    <col min="14348" max="14592" width="8.85546875" style="46"/>
    <col min="14593" max="14593" width="5.28515625" style="46" customWidth="1"/>
    <col min="14594" max="14594" width="36.28515625" style="46" bestFit="1" customWidth="1"/>
    <col min="14595" max="14595" width="7.140625" style="46" bestFit="1" customWidth="1"/>
    <col min="14596" max="14596" width="21.140625" style="46" bestFit="1" customWidth="1"/>
    <col min="14597" max="14597" width="32.7109375" style="46" bestFit="1" customWidth="1"/>
    <col min="14598" max="14598" width="12" style="46" bestFit="1" customWidth="1"/>
    <col min="14599" max="14599" width="10.140625" style="46" customWidth="1"/>
    <col min="14600" max="14600" width="12.5703125" style="46" customWidth="1"/>
    <col min="14601" max="14601" width="11.42578125" style="46" bestFit="1" customWidth="1"/>
    <col min="14602" max="14602" width="12" style="46" bestFit="1" customWidth="1"/>
    <col min="14603" max="14603" width="13.7109375" style="46" bestFit="1" customWidth="1"/>
    <col min="14604" max="14848" width="8.85546875" style="46"/>
    <col min="14849" max="14849" width="5.28515625" style="46" customWidth="1"/>
    <col min="14850" max="14850" width="36.28515625" style="46" bestFit="1" customWidth="1"/>
    <col min="14851" max="14851" width="7.140625" style="46" bestFit="1" customWidth="1"/>
    <col min="14852" max="14852" width="21.140625" style="46" bestFit="1" customWidth="1"/>
    <col min="14853" max="14853" width="32.7109375" style="46" bestFit="1" customWidth="1"/>
    <col min="14854" max="14854" width="12" style="46" bestFit="1" customWidth="1"/>
    <col min="14855" max="14855" width="10.140625" style="46" customWidth="1"/>
    <col min="14856" max="14856" width="12.5703125" style="46" customWidth="1"/>
    <col min="14857" max="14857" width="11.42578125" style="46" bestFit="1" customWidth="1"/>
    <col min="14858" max="14858" width="12" style="46" bestFit="1" customWidth="1"/>
    <col min="14859" max="14859" width="13.7109375" style="46" bestFit="1" customWidth="1"/>
    <col min="14860" max="15104" width="8.85546875" style="46"/>
    <col min="15105" max="15105" width="5.28515625" style="46" customWidth="1"/>
    <col min="15106" max="15106" width="36.28515625" style="46" bestFit="1" customWidth="1"/>
    <col min="15107" max="15107" width="7.140625" style="46" bestFit="1" customWidth="1"/>
    <col min="15108" max="15108" width="21.140625" style="46" bestFit="1" customWidth="1"/>
    <col min="15109" max="15109" width="32.7109375" style="46" bestFit="1" customWidth="1"/>
    <col min="15110" max="15110" width="12" style="46" bestFit="1" customWidth="1"/>
    <col min="15111" max="15111" width="10.140625" style="46" customWidth="1"/>
    <col min="15112" max="15112" width="12.5703125" style="46" customWidth="1"/>
    <col min="15113" max="15113" width="11.42578125" style="46" bestFit="1" customWidth="1"/>
    <col min="15114" max="15114" width="12" style="46" bestFit="1" customWidth="1"/>
    <col min="15115" max="15115" width="13.7109375" style="46" bestFit="1" customWidth="1"/>
    <col min="15116" max="15360" width="8.85546875" style="46"/>
    <col min="15361" max="15361" width="5.28515625" style="46" customWidth="1"/>
    <col min="15362" max="15362" width="36.28515625" style="46" bestFit="1" customWidth="1"/>
    <col min="15363" max="15363" width="7.140625" style="46" bestFit="1" customWidth="1"/>
    <col min="15364" max="15364" width="21.140625" style="46" bestFit="1" customWidth="1"/>
    <col min="15365" max="15365" width="32.7109375" style="46" bestFit="1" customWidth="1"/>
    <col min="15366" max="15366" width="12" style="46" bestFit="1" customWidth="1"/>
    <col min="15367" max="15367" width="10.140625" style="46" customWidth="1"/>
    <col min="15368" max="15368" width="12.5703125" style="46" customWidth="1"/>
    <col min="15369" max="15369" width="11.42578125" style="46" bestFit="1" customWidth="1"/>
    <col min="15370" max="15370" width="12" style="46" bestFit="1" customWidth="1"/>
    <col min="15371" max="15371" width="13.7109375" style="46" bestFit="1" customWidth="1"/>
    <col min="15372" max="15616" width="8.85546875" style="46"/>
    <col min="15617" max="15617" width="5.28515625" style="46" customWidth="1"/>
    <col min="15618" max="15618" width="36.28515625" style="46" bestFit="1" customWidth="1"/>
    <col min="15619" max="15619" width="7.140625" style="46" bestFit="1" customWidth="1"/>
    <col min="15620" max="15620" width="21.140625" style="46" bestFit="1" customWidth="1"/>
    <col min="15621" max="15621" width="32.7109375" style="46" bestFit="1" customWidth="1"/>
    <col min="15622" max="15622" width="12" style="46" bestFit="1" customWidth="1"/>
    <col min="15623" max="15623" width="10.140625" style="46" customWidth="1"/>
    <col min="15624" max="15624" width="12.5703125" style="46" customWidth="1"/>
    <col min="15625" max="15625" width="11.42578125" style="46" bestFit="1" customWidth="1"/>
    <col min="15626" max="15626" width="12" style="46" bestFit="1" customWidth="1"/>
    <col min="15627" max="15627" width="13.7109375" style="46" bestFit="1" customWidth="1"/>
    <col min="15628" max="15872" width="8.85546875" style="46"/>
    <col min="15873" max="15873" width="5.28515625" style="46" customWidth="1"/>
    <col min="15874" max="15874" width="36.28515625" style="46" bestFit="1" customWidth="1"/>
    <col min="15875" max="15875" width="7.140625" style="46" bestFit="1" customWidth="1"/>
    <col min="15876" max="15876" width="21.140625" style="46" bestFit="1" customWidth="1"/>
    <col min="15877" max="15877" width="32.7109375" style="46" bestFit="1" customWidth="1"/>
    <col min="15878" max="15878" width="12" style="46" bestFit="1" customWidth="1"/>
    <col min="15879" max="15879" width="10.140625" style="46" customWidth="1"/>
    <col min="15880" max="15880" width="12.5703125" style="46" customWidth="1"/>
    <col min="15881" max="15881" width="11.42578125" style="46" bestFit="1" customWidth="1"/>
    <col min="15882" max="15882" width="12" style="46" bestFit="1" customWidth="1"/>
    <col min="15883" max="15883" width="13.7109375" style="46" bestFit="1" customWidth="1"/>
    <col min="15884" max="16128" width="8.85546875" style="46"/>
    <col min="16129" max="16129" width="5.28515625" style="46" customWidth="1"/>
    <col min="16130" max="16130" width="36.28515625" style="46" bestFit="1" customWidth="1"/>
    <col min="16131" max="16131" width="7.140625" style="46" bestFit="1" customWidth="1"/>
    <col min="16132" max="16132" width="21.140625" style="46" bestFit="1" customWidth="1"/>
    <col min="16133" max="16133" width="32.7109375" style="46" bestFit="1" customWidth="1"/>
    <col min="16134" max="16134" width="12" style="46" bestFit="1" customWidth="1"/>
    <col min="16135" max="16135" width="10.140625" style="46" customWidth="1"/>
    <col min="16136" max="16136" width="12.5703125" style="46" customWidth="1"/>
    <col min="16137" max="16137" width="11.42578125" style="46" bestFit="1" customWidth="1"/>
    <col min="16138" max="16138" width="12" style="46" bestFit="1" customWidth="1"/>
    <col min="16139" max="16139" width="13.7109375" style="46" bestFit="1" customWidth="1"/>
    <col min="16140" max="16384" width="8.85546875" style="46"/>
  </cols>
  <sheetData>
    <row r="1" spans="1:11" ht="13.5" thickBot="1" x14ac:dyDescent="0.25">
      <c r="A1" s="46"/>
    </row>
    <row r="2" spans="1:11" ht="13.5" thickBot="1" x14ac:dyDescent="0.25">
      <c r="A2" s="46"/>
      <c r="B2" s="47" t="s">
        <v>500</v>
      </c>
      <c r="C2" s="48"/>
      <c r="E2" s="49"/>
    </row>
    <row r="3" spans="1:11" ht="13.5" thickBot="1" x14ac:dyDescent="0.25">
      <c r="A3" s="46"/>
      <c r="C3" s="49"/>
      <c r="E3" s="49"/>
    </row>
    <row r="4" spans="1:11" ht="13.5" thickBot="1" x14ac:dyDescent="0.25">
      <c r="A4" s="46"/>
      <c r="B4" s="50" t="s">
        <v>492</v>
      </c>
      <c r="C4" s="51" t="s">
        <v>493</v>
      </c>
      <c r="D4" s="52" t="s">
        <v>3</v>
      </c>
      <c r="E4" s="51" t="s">
        <v>57</v>
      </c>
      <c r="F4" s="53" t="s">
        <v>494</v>
      </c>
      <c r="G4" s="53" t="s">
        <v>495</v>
      </c>
      <c r="H4" s="54" t="s">
        <v>496</v>
      </c>
      <c r="I4" s="55" t="s">
        <v>497</v>
      </c>
      <c r="J4" s="56" t="s">
        <v>14</v>
      </c>
      <c r="K4" s="57" t="s">
        <v>498</v>
      </c>
    </row>
    <row r="5" spans="1:11" x14ac:dyDescent="0.2">
      <c r="A5" s="46"/>
      <c r="B5" s="58" t="s">
        <v>72</v>
      </c>
      <c r="C5" s="59" t="s">
        <v>64</v>
      </c>
      <c r="D5" s="60" t="s">
        <v>65</v>
      </c>
      <c r="E5" s="59" t="s">
        <v>73</v>
      </c>
      <c r="F5" s="61" t="s">
        <v>66</v>
      </c>
      <c r="G5" s="61" t="s">
        <v>67</v>
      </c>
      <c r="H5" s="62">
        <f>SUMIF('CALCULATE (2)'!$D:$D,RESUMEN!$D5,'CALCULATE (2)'!$BA:$BA)</f>
        <v>5796.56</v>
      </c>
      <c r="I5" s="63">
        <f>SUMIF('CALCULATE (2)'!$D:$D,RESUMEN!$D5,'CALCULATE (2)'!$V:$V)</f>
        <v>5796.56</v>
      </c>
      <c r="J5" s="64">
        <f t="shared" ref="J5:J9" si="0">+I5-H5</f>
        <v>0</v>
      </c>
      <c r="K5" s="65" t="str">
        <f t="shared" ref="K5:K9" si="1">+IF(J5&lt;=0,"Retorno","Exceso")</f>
        <v>Retorno</v>
      </c>
    </row>
    <row r="6" spans="1:11" x14ac:dyDescent="0.2">
      <c r="A6" s="46"/>
      <c r="B6" s="58" t="s">
        <v>72</v>
      </c>
      <c r="C6" s="59" t="s">
        <v>64</v>
      </c>
      <c r="D6" s="60" t="s">
        <v>77</v>
      </c>
      <c r="E6" s="59" t="s">
        <v>80</v>
      </c>
      <c r="F6" s="61" t="s">
        <v>78</v>
      </c>
      <c r="G6" s="61" t="s">
        <v>67</v>
      </c>
      <c r="H6" s="62">
        <f>SUMIF('CALCULATE (2)'!$D:$D,RESUMEN!$D6,'CALCULATE (2)'!$BA:$BA)</f>
        <v>1601.67</v>
      </c>
      <c r="I6" s="63">
        <f>SUMIF('CALCULATE (2)'!$D:$D,RESUMEN!$D6,'CALCULATE (2)'!$V:$V)</f>
        <v>0</v>
      </c>
      <c r="J6" s="64">
        <f t="shared" si="0"/>
        <v>-1601.67</v>
      </c>
      <c r="K6" s="65" t="str">
        <f t="shared" si="1"/>
        <v>Retorno</v>
      </c>
    </row>
    <row r="7" spans="1:11" x14ac:dyDescent="0.2">
      <c r="A7" s="46"/>
      <c r="B7" s="58" t="s">
        <v>72</v>
      </c>
      <c r="C7" s="59" t="s">
        <v>64</v>
      </c>
      <c r="D7" s="60" t="s">
        <v>83</v>
      </c>
      <c r="E7" s="59" t="s">
        <v>86</v>
      </c>
      <c r="F7" s="61" t="s">
        <v>84</v>
      </c>
      <c r="G7" s="61" t="s">
        <v>67</v>
      </c>
      <c r="H7" s="62">
        <f>SUMIF('CALCULATE (2)'!$D:$D,RESUMEN!$D7,'CALCULATE (2)'!$BA:$BA)</f>
        <v>8313.9</v>
      </c>
      <c r="I7" s="63">
        <f>SUMIF('CALCULATE (2)'!$D:$D,RESUMEN!$D7,'CALCULATE (2)'!$V:$V)</f>
        <v>7245.7</v>
      </c>
      <c r="J7" s="64">
        <f t="shared" ref="J7" si="2">+I7-H7</f>
        <v>-1068.1999999999998</v>
      </c>
      <c r="K7" s="65" t="str">
        <f t="shared" ref="K7" si="3">+IF(J7&lt;=0,"Retorno","Exceso")</f>
        <v>Retorno</v>
      </c>
    </row>
    <row r="8" spans="1:11" x14ac:dyDescent="0.2">
      <c r="A8" s="46"/>
      <c r="B8" s="58" t="s">
        <v>72</v>
      </c>
      <c r="C8" s="59" t="s">
        <v>91</v>
      </c>
      <c r="D8" s="60" t="s">
        <v>92</v>
      </c>
      <c r="E8" s="59" t="s">
        <v>95</v>
      </c>
      <c r="F8" s="61" t="s">
        <v>93</v>
      </c>
      <c r="G8" s="61" t="s">
        <v>67</v>
      </c>
      <c r="H8" s="62">
        <f>SUMIF('CALCULATE (2)'!$D:$D,RESUMEN!$D8,'CALCULATE (2)'!$BA:$BA)</f>
        <v>24306.55</v>
      </c>
      <c r="I8" s="63">
        <f>SUMIF('CALCULATE (2)'!$D:$D,RESUMEN!$D8,'CALCULATE (2)'!$V:$V)</f>
        <v>13175.08</v>
      </c>
      <c r="J8" s="64">
        <f t="shared" si="0"/>
        <v>-11131.47</v>
      </c>
      <c r="K8" s="65" t="str">
        <f t="shared" si="1"/>
        <v>Retorno</v>
      </c>
    </row>
    <row r="9" spans="1:11" ht="13.5" thickBot="1" x14ac:dyDescent="0.25">
      <c r="A9" s="46"/>
      <c r="B9" s="66" t="s">
        <v>72</v>
      </c>
      <c r="C9" s="67" t="s">
        <v>91</v>
      </c>
      <c r="D9" s="68" t="s">
        <v>107</v>
      </c>
      <c r="E9" s="67" t="s">
        <v>109</v>
      </c>
      <c r="F9" s="69" t="s">
        <v>84</v>
      </c>
      <c r="G9" s="69" t="s">
        <v>67</v>
      </c>
      <c r="H9" s="70">
        <f>SUMIF('CALCULATE (2)'!$D:$D,RESUMEN!$D9,'CALCULATE (2)'!$BA:$BA)</f>
        <v>9695.6</v>
      </c>
      <c r="I9" s="71">
        <f>SUMIF('CALCULATE (2)'!$D:$D,RESUMEN!$D9,'CALCULATE (2)'!$V:$V)</f>
        <v>4339.0200000000004</v>
      </c>
      <c r="J9" s="72">
        <f t="shared" si="0"/>
        <v>-5356.58</v>
      </c>
      <c r="K9" s="73" t="str">
        <f t="shared" si="1"/>
        <v>Retorno</v>
      </c>
    </row>
    <row r="10" spans="1:11" x14ac:dyDescent="0.2">
      <c r="A10" s="46"/>
      <c r="B10" s="74"/>
      <c r="C10" s="59"/>
      <c r="D10" s="60"/>
      <c r="E10" s="59"/>
      <c r="F10" s="61"/>
      <c r="G10" s="75" t="s">
        <v>491</v>
      </c>
      <c r="H10" s="76">
        <f>+SUBTOTAL(9,H5:H9)</f>
        <v>49714.28</v>
      </c>
      <c r="I10" s="76">
        <f>+SUBTOTAL(9,I5:I9)</f>
        <v>30556.36</v>
      </c>
      <c r="J10" s="77">
        <f>+SUBTOTAL(9,J5:J9)</f>
        <v>-19157.919999999998</v>
      </c>
    </row>
    <row r="11" spans="1:11" x14ac:dyDescent="0.2">
      <c r="A11" s="46"/>
      <c r="B11" s="74"/>
      <c r="F11" s="61"/>
      <c r="G11" s="61"/>
      <c r="H11" s="78"/>
      <c r="I11" s="79"/>
    </row>
    <row r="12" spans="1:11" ht="13.5" thickBot="1" x14ac:dyDescent="0.25">
      <c r="F12" s="61"/>
    </row>
    <row r="13" spans="1:11" ht="13.5" thickBot="1" x14ac:dyDescent="0.25">
      <c r="F13" s="61"/>
      <c r="G13" s="81"/>
      <c r="J13" s="82" t="s">
        <v>499</v>
      </c>
      <c r="K13" s="83" t="s">
        <v>498</v>
      </c>
    </row>
    <row r="14" spans="1:11" ht="13.5" thickBot="1" x14ac:dyDescent="0.25">
      <c r="G14" s="84" t="str">
        <f>C5</f>
        <v>Cooking</v>
      </c>
      <c r="H14" s="85">
        <f>SUMIF($C$5:$C$9,G14,$H$5:$H$9)</f>
        <v>15712.130000000001</v>
      </c>
      <c r="I14" s="86">
        <f>SUMIF($C$5:$C$9,G14,$I$5:$I$9)</f>
        <v>13042.26</v>
      </c>
      <c r="J14" s="87">
        <f>+I14-H14</f>
        <v>-2669.8700000000008</v>
      </c>
      <c r="K14" s="88" t="str">
        <f>+IF(J14&lt;=0,"Retorno","Exceso")</f>
        <v>Retorno</v>
      </c>
    </row>
    <row r="15" spans="1:11" ht="13.5" thickBot="1" x14ac:dyDescent="0.25">
      <c r="G15" s="84" t="s">
        <v>91</v>
      </c>
      <c r="H15" s="85">
        <f>SUMIF($C$5:$C$9,G15,$H$5:$H$9)</f>
        <v>34002.15</v>
      </c>
      <c r="I15" s="86">
        <f>SUMIF($C$5:$C$9,G15,$I$5:$I$9)</f>
        <v>17514.099999999999</v>
      </c>
      <c r="J15" s="87">
        <f>+I15-H15</f>
        <v>-16488.050000000003</v>
      </c>
      <c r="K15" s="88" t="str">
        <f>+IF(J15&lt;=0,"Retorno","Exceso")</f>
        <v>Retorno</v>
      </c>
    </row>
    <row r="16" spans="1:11" x14ac:dyDescent="0.2">
      <c r="G16" s="84" t="s">
        <v>501</v>
      </c>
      <c r="H16" s="85">
        <f>SUMIF($C$5:$C$9,G16,$H$5:$H$9)</f>
        <v>0</v>
      </c>
      <c r="I16" s="86">
        <f>SUMIF($C$5:$C$9,G16,$I$5:$I$9)</f>
        <v>0</v>
      </c>
      <c r="J16" s="87">
        <f>+I16-H16</f>
        <v>0</v>
      </c>
      <c r="K16" s="88" t="str">
        <f>+IF(J16&lt;=0,"Retorno","Exceso")</f>
        <v>Retorno</v>
      </c>
    </row>
    <row r="17" spans="7:10" x14ac:dyDescent="0.2">
      <c r="H17" s="76">
        <f>SUM(H14:H16)</f>
        <v>49714.28</v>
      </c>
      <c r="I17" s="76">
        <f>SUM(I14:I16)</f>
        <v>30556.36</v>
      </c>
      <c r="J17" s="76">
        <f>SUM(J14:J16)</f>
        <v>-19157.920000000006</v>
      </c>
    </row>
    <row r="19" spans="7:10" x14ac:dyDescent="0.2">
      <c r="G19" s="89"/>
      <c r="H19" s="90"/>
      <c r="I19" s="91"/>
      <c r="J19" s="92"/>
    </row>
    <row r="20" spans="7:10" x14ac:dyDescent="0.2">
      <c r="G20" s="89"/>
      <c r="H20" s="90"/>
      <c r="I20" s="91"/>
      <c r="J20" s="92"/>
    </row>
    <row r="21" spans="7:10" x14ac:dyDescent="0.2">
      <c r="G21" s="92"/>
      <c r="H21" s="90"/>
      <c r="I21" s="91"/>
      <c r="J21" s="92"/>
    </row>
    <row r="22" spans="7:10" x14ac:dyDescent="0.2">
      <c r="I22" s="91"/>
      <c r="J22" s="92"/>
    </row>
    <row r="23" spans="7:10" x14ac:dyDescent="0.2">
      <c r="I23" s="92"/>
      <c r="J23" s="92"/>
    </row>
  </sheetData>
  <conditionalFormatting sqref="F4:G4">
    <cfRule type="containsText" dxfId="14" priority="15" operator="containsText" text="Calculado">
      <formula>NOT(ISERROR(SEARCH("Calculado",F4)))</formula>
    </cfRule>
  </conditionalFormatting>
  <conditionalFormatting sqref="K14">
    <cfRule type="cellIs" dxfId="13" priority="13" operator="equal">
      <formula>"Exceso"</formula>
    </cfRule>
    <cfRule type="cellIs" dxfId="12" priority="14" operator="equal">
      <formula>"Retorno"</formula>
    </cfRule>
  </conditionalFormatting>
  <conditionalFormatting sqref="H4">
    <cfRule type="containsText" dxfId="11" priority="12" operator="containsText" text="Calculado">
      <formula>NOT(ISERROR(SEARCH("Calculado",H4)))</formula>
    </cfRule>
  </conditionalFormatting>
  <conditionalFormatting sqref="D2:D4">
    <cfRule type="duplicateValues" dxfId="10" priority="11" stopIfTrue="1"/>
  </conditionalFormatting>
  <conditionalFormatting sqref="K5 K8:K9">
    <cfRule type="cellIs" dxfId="9" priority="9" operator="equal">
      <formula>"Retorno"</formula>
    </cfRule>
    <cfRule type="cellIs" dxfId="8" priority="10" operator="equal">
      <formula>"Exceso"</formula>
    </cfRule>
  </conditionalFormatting>
  <conditionalFormatting sqref="K16">
    <cfRule type="cellIs" dxfId="7" priority="7" operator="equal">
      <formula>"Exceso"</formula>
    </cfRule>
    <cfRule type="cellIs" dxfId="6" priority="8" operator="equal">
      <formula>"Retorno"</formula>
    </cfRule>
  </conditionalFormatting>
  <conditionalFormatting sqref="K15">
    <cfRule type="cellIs" dxfId="5" priority="5" operator="equal">
      <formula>"Exceso"</formula>
    </cfRule>
    <cfRule type="cellIs" dxfId="4" priority="6" operator="equal">
      <formula>"Retorno"</formula>
    </cfRule>
  </conditionalFormatting>
  <conditionalFormatting sqref="K6">
    <cfRule type="cellIs" dxfId="3" priority="3" operator="equal">
      <formula>"Retorno"</formula>
    </cfRule>
    <cfRule type="cellIs" dxfId="2" priority="4" operator="equal">
      <formula>"Exceso"</formula>
    </cfRule>
  </conditionalFormatting>
  <conditionalFormatting sqref="K7">
    <cfRule type="cellIs" dxfId="1" priority="1" operator="equal">
      <formula>"Retorno"</formula>
    </cfRule>
    <cfRule type="cellIs" dxfId="0" priority="2" operator="equal">
      <formula>"Exceso"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B5" sqref="B5:F9"/>
    </sheetView>
  </sheetViews>
  <sheetFormatPr defaultRowHeight="12.75" x14ac:dyDescent="0.2"/>
  <cols>
    <col min="1" max="1" width="28.42578125" bestFit="1" customWidth="1"/>
    <col min="2" max="2" width="16.42578125" bestFit="1" customWidth="1"/>
    <col min="3" max="3" width="24.7109375" bestFit="1" customWidth="1"/>
    <col min="4" max="4" width="44.7109375" bestFit="1" customWidth="1"/>
    <col min="5" max="5" width="14.42578125" bestFit="1" customWidth="1"/>
    <col min="6" max="6" width="12.28515625" bestFit="1" customWidth="1"/>
    <col min="7" max="7" width="9" style="45" bestFit="1" customWidth="1"/>
  </cols>
  <sheetData>
    <row r="3" spans="1:7" x14ac:dyDescent="0.2">
      <c r="A3" s="43" t="s">
        <v>490</v>
      </c>
      <c r="G3"/>
    </row>
    <row r="4" spans="1:7" x14ac:dyDescent="0.2">
      <c r="A4" s="43" t="s">
        <v>56</v>
      </c>
      <c r="B4" s="43" t="s">
        <v>2</v>
      </c>
      <c r="C4" s="43" t="s">
        <v>3</v>
      </c>
      <c r="D4" s="43" t="s">
        <v>57</v>
      </c>
      <c r="E4" s="43" t="s">
        <v>5</v>
      </c>
      <c r="F4" s="43" t="s">
        <v>6</v>
      </c>
      <c r="G4" t="s">
        <v>491</v>
      </c>
    </row>
    <row r="5" spans="1:7" x14ac:dyDescent="0.2">
      <c r="A5" t="s">
        <v>72</v>
      </c>
      <c r="B5" t="s">
        <v>64</v>
      </c>
      <c r="C5" t="s">
        <v>65</v>
      </c>
      <c r="D5" t="s">
        <v>73</v>
      </c>
      <c r="E5" t="s">
        <v>66</v>
      </c>
      <c r="F5" t="s">
        <v>67</v>
      </c>
      <c r="G5" s="44">
        <v>5796.56</v>
      </c>
    </row>
    <row r="6" spans="1:7" x14ac:dyDescent="0.2">
      <c r="A6" t="s">
        <v>72</v>
      </c>
      <c r="B6" t="s">
        <v>64</v>
      </c>
      <c r="C6" t="s">
        <v>77</v>
      </c>
      <c r="D6" t="s">
        <v>80</v>
      </c>
      <c r="E6" t="s">
        <v>78</v>
      </c>
      <c r="F6" t="s">
        <v>67</v>
      </c>
      <c r="G6" s="44">
        <v>0</v>
      </c>
    </row>
    <row r="7" spans="1:7" x14ac:dyDescent="0.2">
      <c r="A7" t="s">
        <v>72</v>
      </c>
      <c r="B7" t="s">
        <v>64</v>
      </c>
      <c r="C7" t="s">
        <v>83</v>
      </c>
      <c r="D7" t="s">
        <v>86</v>
      </c>
      <c r="E7" t="s">
        <v>84</v>
      </c>
      <c r="F7" t="s">
        <v>67</v>
      </c>
      <c r="G7" s="44">
        <v>0</v>
      </c>
    </row>
    <row r="8" spans="1:7" x14ac:dyDescent="0.2">
      <c r="A8" t="s">
        <v>72</v>
      </c>
      <c r="B8" t="s">
        <v>91</v>
      </c>
      <c r="C8" t="s">
        <v>92</v>
      </c>
      <c r="D8" t="s">
        <v>95</v>
      </c>
      <c r="E8" t="s">
        <v>93</v>
      </c>
      <c r="F8" t="s">
        <v>67</v>
      </c>
      <c r="G8" s="44">
        <v>13175.08</v>
      </c>
    </row>
    <row r="9" spans="1:7" x14ac:dyDescent="0.2">
      <c r="A9" t="s">
        <v>72</v>
      </c>
      <c r="B9" t="s">
        <v>91</v>
      </c>
      <c r="C9" t="s">
        <v>107</v>
      </c>
      <c r="D9" t="s">
        <v>109</v>
      </c>
      <c r="E9" t="s">
        <v>84</v>
      </c>
      <c r="F9" t="s">
        <v>67</v>
      </c>
      <c r="G9" s="44">
        <v>4339.0199999999986</v>
      </c>
    </row>
    <row r="10" spans="1:7" x14ac:dyDescent="0.2">
      <c r="A10" t="s">
        <v>489</v>
      </c>
      <c r="G10" s="44">
        <v>23310.659999999996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zoomScale="90" zoomScaleNormal="90" workbookViewId="0">
      <selection activeCell="I5" sqref="I5"/>
    </sheetView>
  </sheetViews>
  <sheetFormatPr defaultRowHeight="12.75" x14ac:dyDescent="0.2"/>
  <cols>
    <col min="1" max="1" width="5.42578125" customWidth="1"/>
    <col min="2" max="2" width="9.28515625" customWidth="1"/>
    <col min="3" max="3" width="8" customWidth="1"/>
    <col min="4" max="4" width="22" customWidth="1"/>
    <col min="5" max="5" width="5.7109375" customWidth="1"/>
    <col min="6" max="6" width="9.7109375" customWidth="1"/>
    <col min="7" max="7" width="9" customWidth="1"/>
    <col min="8" max="8" width="13" customWidth="1"/>
    <col min="9" max="9" width="17" customWidth="1"/>
    <col min="10" max="10" width="8" customWidth="1"/>
    <col min="11" max="11" width="7.85546875" customWidth="1"/>
    <col min="12" max="12" width="9.85546875" customWidth="1"/>
    <col min="13" max="13" width="7.85546875" customWidth="1"/>
    <col min="14" max="14" width="8.5703125" customWidth="1"/>
    <col min="15" max="15" width="9.5703125" customWidth="1"/>
    <col min="16" max="16" width="7.28515625" customWidth="1"/>
    <col min="17" max="17" width="15.42578125" customWidth="1"/>
    <col min="18" max="18" width="8" customWidth="1"/>
    <col min="19" max="19" width="7.28515625" customWidth="1"/>
    <col min="20" max="20" width="10" customWidth="1"/>
    <col min="21" max="21" width="6.7109375" customWidth="1"/>
    <col min="22" max="24" width="10.28515625" customWidth="1"/>
    <col min="25" max="25" width="18.5703125" customWidth="1"/>
    <col min="26" max="26" width="8.85546875" customWidth="1"/>
    <col min="27" max="27" width="6.5703125" customWidth="1"/>
    <col min="28" max="28" width="8.7109375" customWidth="1"/>
    <col min="29" max="29" width="6.85546875" customWidth="1"/>
    <col min="30" max="30" width="7.7109375" customWidth="1"/>
    <col min="31" max="31" width="7" customWidth="1"/>
    <col min="32" max="33" width="5.5703125" customWidth="1"/>
    <col min="34" max="37" width="6.85546875" customWidth="1"/>
    <col min="38" max="49" width="7.7109375" customWidth="1"/>
    <col min="50" max="50" width="12.5703125" customWidth="1"/>
    <col min="57" max="57" width="12" customWidth="1"/>
    <col min="58" max="58" width="17" customWidth="1"/>
    <col min="59" max="59" width="19" customWidth="1"/>
    <col min="60" max="60" width="5.140625" customWidth="1"/>
    <col min="61" max="61" width="9.7109375" customWidth="1"/>
    <col min="62" max="62" width="17.7109375" customWidth="1"/>
    <col min="63" max="63" width="44.140625" customWidth="1"/>
    <col min="64" max="64" width="4.7109375" customWidth="1"/>
  </cols>
  <sheetData>
    <row r="1" spans="1:63" s="1" customFormat="1" ht="4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5" t="s">
        <v>60</v>
      </c>
      <c r="BJ1" s="3" t="s">
        <v>61</v>
      </c>
      <c r="BK1" s="3" t="s">
        <v>62</v>
      </c>
    </row>
    <row r="2" spans="1:63" s="1" customFormat="1" ht="17.25" customHeight="1" x14ac:dyDescent="0.2">
      <c r="A2" s="9">
        <v>1</v>
      </c>
      <c r="B2" s="10" t="s">
        <v>63</v>
      </c>
      <c r="C2" s="10" t="s">
        <v>64</v>
      </c>
      <c r="D2" s="10" t="s">
        <v>65</v>
      </c>
      <c r="E2" s="9">
        <v>1</v>
      </c>
      <c r="F2" s="10" t="s">
        <v>66</v>
      </c>
      <c r="G2" s="10" t="s">
        <v>67</v>
      </c>
      <c r="H2" s="10" t="s">
        <v>68</v>
      </c>
      <c r="I2" s="11" t="s">
        <v>69</v>
      </c>
      <c r="J2" s="12">
        <v>0</v>
      </c>
      <c r="K2" s="13">
        <v>1944.15</v>
      </c>
      <c r="L2" s="14">
        <v>1599</v>
      </c>
      <c r="M2" s="15">
        <v>10</v>
      </c>
      <c r="N2" s="16">
        <v>1219.58</v>
      </c>
      <c r="O2" s="17">
        <v>724.57</v>
      </c>
      <c r="P2" s="18">
        <v>8</v>
      </c>
      <c r="Q2" s="11" t="s">
        <v>463</v>
      </c>
      <c r="R2" s="13"/>
      <c r="S2" s="19">
        <v>0</v>
      </c>
      <c r="T2" s="17"/>
      <c r="U2" s="18"/>
      <c r="V2" s="20">
        <v>5796.56</v>
      </c>
      <c r="W2" s="20"/>
      <c r="X2" s="20"/>
      <c r="Y2" s="21"/>
      <c r="Z2" s="16">
        <v>0</v>
      </c>
      <c r="AA2" s="12">
        <v>0</v>
      </c>
      <c r="AB2" s="16">
        <v>0</v>
      </c>
      <c r="AC2" s="22" t="s">
        <v>70</v>
      </c>
      <c r="AD2" s="11"/>
      <c r="AE2" s="21" t="s">
        <v>464</v>
      </c>
      <c r="AF2" s="21"/>
      <c r="AG2" s="12">
        <v>18</v>
      </c>
      <c r="AH2" s="12">
        <v>0</v>
      </c>
      <c r="AI2" s="12">
        <v>18</v>
      </c>
      <c r="AJ2" s="9">
        <v>0</v>
      </c>
      <c r="AK2" s="9">
        <v>18</v>
      </c>
      <c r="AL2" s="14">
        <v>0</v>
      </c>
      <c r="AM2" s="14">
        <v>8</v>
      </c>
      <c r="AN2" s="9">
        <v>0</v>
      </c>
      <c r="AO2" s="9">
        <v>0</v>
      </c>
      <c r="AP2" s="9">
        <v>0</v>
      </c>
      <c r="AQ2" s="9">
        <v>0</v>
      </c>
      <c r="AR2" s="9">
        <v>10</v>
      </c>
      <c r="AS2" s="9"/>
      <c r="AT2" s="9"/>
      <c r="AU2" s="9"/>
      <c r="AV2" s="9"/>
      <c r="AW2" s="23"/>
      <c r="AX2" s="10" t="s">
        <v>71</v>
      </c>
      <c r="AY2" s="13">
        <v>724.57</v>
      </c>
      <c r="AZ2" s="9">
        <v>8</v>
      </c>
      <c r="BA2" s="16">
        <v>5796.56</v>
      </c>
      <c r="BB2" s="16">
        <v>5796.56</v>
      </c>
      <c r="BC2" s="9">
        <v>0</v>
      </c>
      <c r="BD2" s="16">
        <v>0</v>
      </c>
      <c r="BE2" s="10" t="s">
        <v>72</v>
      </c>
      <c r="BF2" s="10" t="s">
        <v>73</v>
      </c>
      <c r="BG2" s="10" t="s">
        <v>69</v>
      </c>
      <c r="BH2" s="10" t="s">
        <v>74</v>
      </c>
      <c r="BI2" s="24">
        <v>1</v>
      </c>
      <c r="BJ2" s="10" t="s">
        <v>75</v>
      </c>
      <c r="BK2" s="10" t="s">
        <v>76</v>
      </c>
    </row>
    <row r="3" spans="1:63" s="1" customFormat="1" ht="17.25" customHeight="1" x14ac:dyDescent="0.2">
      <c r="A3" s="9">
        <v>2</v>
      </c>
      <c r="B3" s="10" t="s">
        <v>63</v>
      </c>
      <c r="C3" s="10" t="s">
        <v>64</v>
      </c>
      <c r="D3" s="10" t="s">
        <v>77</v>
      </c>
      <c r="E3" s="9">
        <v>1</v>
      </c>
      <c r="F3" s="10" t="s">
        <v>78</v>
      </c>
      <c r="G3" s="10" t="s">
        <v>67</v>
      </c>
      <c r="H3" s="10" t="s">
        <v>68</v>
      </c>
      <c r="I3" s="11" t="s">
        <v>79</v>
      </c>
      <c r="J3" s="12">
        <v>0</v>
      </c>
      <c r="K3" s="13">
        <v>365.34</v>
      </c>
      <c r="L3" s="14">
        <v>379</v>
      </c>
      <c r="M3" s="15">
        <v>10</v>
      </c>
      <c r="N3" s="16">
        <v>289.07</v>
      </c>
      <c r="O3" s="17">
        <v>76.27</v>
      </c>
      <c r="P3" s="18">
        <v>0</v>
      </c>
      <c r="Q3" s="11" t="s">
        <v>463</v>
      </c>
      <c r="R3" s="13"/>
      <c r="S3" s="19">
        <v>0</v>
      </c>
      <c r="T3" s="17"/>
      <c r="U3" s="18"/>
      <c r="V3" s="20">
        <v>0</v>
      </c>
      <c r="W3" s="20"/>
      <c r="X3" s="20"/>
      <c r="Y3" s="21"/>
      <c r="Z3" s="16">
        <v>0</v>
      </c>
      <c r="AA3" s="12">
        <v>-21</v>
      </c>
      <c r="AB3" s="16">
        <v>-1601.67</v>
      </c>
      <c r="AC3" s="22" t="s">
        <v>70</v>
      </c>
      <c r="AD3" s="11"/>
      <c r="AE3" s="21" t="s">
        <v>464</v>
      </c>
      <c r="AF3" s="21"/>
      <c r="AG3" s="12">
        <v>24</v>
      </c>
      <c r="AH3" s="12">
        <v>0</v>
      </c>
      <c r="AI3" s="12">
        <v>0</v>
      </c>
      <c r="AJ3" s="9">
        <v>0</v>
      </c>
      <c r="AK3" s="9">
        <v>0</v>
      </c>
      <c r="AL3" s="14">
        <v>0</v>
      </c>
      <c r="AM3" s="14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/>
      <c r="AT3" s="9"/>
      <c r="AU3" s="9"/>
      <c r="AV3" s="9"/>
      <c r="AW3" s="23"/>
      <c r="AX3" s="10" t="s">
        <v>71</v>
      </c>
      <c r="AY3" s="13">
        <v>76.27</v>
      </c>
      <c r="AZ3" s="9">
        <v>21</v>
      </c>
      <c r="BA3" s="16">
        <v>1601.67</v>
      </c>
      <c r="BB3" s="16">
        <v>1601.67</v>
      </c>
      <c r="BC3" s="9">
        <v>0</v>
      </c>
      <c r="BD3" s="16">
        <v>0</v>
      </c>
      <c r="BE3" s="10" t="s">
        <v>72</v>
      </c>
      <c r="BF3" s="10" t="s">
        <v>80</v>
      </c>
      <c r="BG3" s="10" t="s">
        <v>79</v>
      </c>
      <c r="BH3" s="10" t="s">
        <v>74</v>
      </c>
      <c r="BI3" s="24">
        <v>1</v>
      </c>
      <c r="BJ3" s="10" t="s">
        <v>81</v>
      </c>
      <c r="BK3" s="10" t="s">
        <v>82</v>
      </c>
    </row>
    <row r="4" spans="1:63" s="1" customFormat="1" ht="17.25" customHeight="1" x14ac:dyDescent="0.2">
      <c r="A4" s="9">
        <v>3</v>
      </c>
      <c r="B4" s="10" t="s">
        <v>63</v>
      </c>
      <c r="C4" s="10" t="s">
        <v>64</v>
      </c>
      <c r="D4" s="10" t="s">
        <v>83</v>
      </c>
      <c r="E4" s="9">
        <v>1</v>
      </c>
      <c r="F4" s="10" t="s">
        <v>84</v>
      </c>
      <c r="G4" s="10" t="s">
        <v>67</v>
      </c>
      <c r="H4" s="10" t="s">
        <v>68</v>
      </c>
      <c r="I4" s="11" t="s">
        <v>85</v>
      </c>
      <c r="J4" s="12">
        <v>0</v>
      </c>
      <c r="K4" s="13">
        <v>433.98</v>
      </c>
      <c r="L4" s="14">
        <v>539</v>
      </c>
      <c r="M4" s="15">
        <v>10</v>
      </c>
      <c r="N4" s="16">
        <v>411.1</v>
      </c>
      <c r="O4" s="17">
        <v>22.88</v>
      </c>
      <c r="P4" s="18">
        <v>0</v>
      </c>
      <c r="Q4" s="11" t="s">
        <v>463</v>
      </c>
      <c r="R4" s="13"/>
      <c r="S4" s="19">
        <v>0</v>
      </c>
      <c r="T4" s="17"/>
      <c r="U4" s="18"/>
      <c r="V4" s="20">
        <v>0</v>
      </c>
      <c r="W4" s="20"/>
      <c r="X4" s="20"/>
      <c r="Y4" s="21"/>
      <c r="Z4" s="16">
        <v>15.25</v>
      </c>
      <c r="AA4" s="12">
        <v>-140</v>
      </c>
      <c r="AB4" s="16">
        <v>-1068.2</v>
      </c>
      <c r="AC4" s="22" t="s">
        <v>70</v>
      </c>
      <c r="AD4" s="11"/>
      <c r="AE4" s="21" t="s">
        <v>464</v>
      </c>
      <c r="AF4" s="21"/>
      <c r="AG4" s="12">
        <v>49</v>
      </c>
      <c r="AH4" s="12">
        <v>0</v>
      </c>
      <c r="AI4" s="12">
        <v>0</v>
      </c>
      <c r="AJ4" s="9">
        <v>0</v>
      </c>
      <c r="AK4" s="9">
        <v>0</v>
      </c>
      <c r="AL4" s="14">
        <v>0</v>
      </c>
      <c r="AM4" s="14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/>
      <c r="AT4" s="9"/>
      <c r="AU4" s="9"/>
      <c r="AV4" s="9"/>
      <c r="AW4" s="23"/>
      <c r="AX4" s="10" t="s">
        <v>71</v>
      </c>
      <c r="AY4" s="13">
        <v>7.63</v>
      </c>
      <c r="AZ4" s="9">
        <v>140</v>
      </c>
      <c r="BA4" s="16">
        <v>1068.2</v>
      </c>
      <c r="BB4" s="16">
        <v>1068.2</v>
      </c>
      <c r="BC4" s="9">
        <v>0</v>
      </c>
      <c r="BD4" s="16">
        <v>0</v>
      </c>
      <c r="BE4" s="10" t="s">
        <v>72</v>
      </c>
      <c r="BF4" s="10" t="s">
        <v>86</v>
      </c>
      <c r="BG4" s="10" t="s">
        <v>85</v>
      </c>
      <c r="BH4" s="10" t="s">
        <v>74</v>
      </c>
      <c r="BI4" s="24">
        <v>1</v>
      </c>
      <c r="BJ4" s="10" t="s">
        <v>87</v>
      </c>
      <c r="BK4" s="10" t="s">
        <v>88</v>
      </c>
    </row>
    <row r="5" spans="1:63" s="1" customFormat="1" ht="17.25" customHeight="1" x14ac:dyDescent="0.2">
      <c r="A5" s="9">
        <v>4</v>
      </c>
      <c r="B5" s="10" t="s">
        <v>63</v>
      </c>
      <c r="C5" s="10" t="s">
        <v>64</v>
      </c>
      <c r="D5" s="10" t="s">
        <v>83</v>
      </c>
      <c r="E5" s="9">
        <v>2</v>
      </c>
      <c r="F5" s="10" t="s">
        <v>84</v>
      </c>
      <c r="G5" s="10" t="s">
        <v>67</v>
      </c>
      <c r="H5" s="10" t="s">
        <v>68</v>
      </c>
      <c r="I5" s="11" t="s">
        <v>69</v>
      </c>
      <c r="J5" s="12">
        <v>0</v>
      </c>
      <c r="K5" s="13">
        <v>1944.15</v>
      </c>
      <c r="L5" s="14">
        <v>1599</v>
      </c>
      <c r="M5" s="15">
        <v>10</v>
      </c>
      <c r="N5" s="16">
        <v>1219.58</v>
      </c>
      <c r="O5" s="17">
        <v>724.57</v>
      </c>
      <c r="P5" s="18">
        <v>10</v>
      </c>
      <c r="Q5" s="11" t="s">
        <v>463</v>
      </c>
      <c r="R5" s="13"/>
      <c r="S5" s="19">
        <v>0</v>
      </c>
      <c r="T5" s="17"/>
      <c r="U5" s="18"/>
      <c r="V5" s="20">
        <v>7245.7</v>
      </c>
      <c r="W5" s="20"/>
      <c r="X5" s="20"/>
      <c r="Y5" s="21"/>
      <c r="Z5" s="16">
        <v>0</v>
      </c>
      <c r="AA5" s="12">
        <v>0</v>
      </c>
      <c r="AB5" s="16">
        <v>0</v>
      </c>
      <c r="AC5" s="22" t="s">
        <v>70</v>
      </c>
      <c r="AD5" s="11"/>
      <c r="AE5" s="21" t="s">
        <v>466</v>
      </c>
      <c r="AF5" s="21" t="s">
        <v>467</v>
      </c>
      <c r="AG5" s="12">
        <v>10</v>
      </c>
      <c r="AH5" s="12">
        <v>0</v>
      </c>
      <c r="AI5" s="12">
        <v>10</v>
      </c>
      <c r="AJ5" s="9">
        <v>0</v>
      </c>
      <c r="AK5" s="9">
        <v>10</v>
      </c>
      <c r="AL5" s="14">
        <v>0</v>
      </c>
      <c r="AM5" s="14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/>
      <c r="AT5" s="9"/>
      <c r="AU5" s="9"/>
      <c r="AV5" s="9"/>
      <c r="AW5" s="23"/>
      <c r="AX5" s="10" t="s">
        <v>71</v>
      </c>
      <c r="AY5" s="13">
        <v>724.57</v>
      </c>
      <c r="AZ5" s="9">
        <v>10</v>
      </c>
      <c r="BA5" s="16">
        <v>7245.7</v>
      </c>
      <c r="BB5" s="16">
        <v>7245.7</v>
      </c>
      <c r="BC5" s="9">
        <v>0</v>
      </c>
      <c r="BD5" s="16">
        <v>0</v>
      </c>
      <c r="BE5" s="10" t="s">
        <v>72</v>
      </c>
      <c r="BF5" s="10" t="s">
        <v>86</v>
      </c>
      <c r="BG5" s="10" t="s">
        <v>69</v>
      </c>
      <c r="BH5" s="10" t="s">
        <v>74</v>
      </c>
      <c r="BI5" s="24">
        <v>1</v>
      </c>
      <c r="BJ5" s="10" t="s">
        <v>89</v>
      </c>
      <c r="BK5" s="10" t="s">
        <v>90</v>
      </c>
    </row>
    <row r="6" spans="1:63" s="1" customFormat="1" ht="17.25" customHeight="1" x14ac:dyDescent="0.2">
      <c r="A6" s="9">
        <v>5</v>
      </c>
      <c r="B6" s="10" t="s">
        <v>63</v>
      </c>
      <c r="C6" s="10" t="s">
        <v>91</v>
      </c>
      <c r="D6" s="10" t="s">
        <v>92</v>
      </c>
      <c r="E6" s="9">
        <v>1</v>
      </c>
      <c r="F6" s="10" t="s">
        <v>93</v>
      </c>
      <c r="G6" s="10" t="s">
        <v>67</v>
      </c>
      <c r="H6" s="10" t="s">
        <v>68</v>
      </c>
      <c r="I6" s="11" t="s">
        <v>94</v>
      </c>
      <c r="J6" s="12">
        <v>0</v>
      </c>
      <c r="K6" s="13">
        <v>2279.75</v>
      </c>
      <c r="L6" s="14">
        <v>2099</v>
      </c>
      <c r="M6" s="15">
        <v>10</v>
      </c>
      <c r="N6" s="16">
        <v>1600.93</v>
      </c>
      <c r="O6" s="17">
        <v>678.82</v>
      </c>
      <c r="P6" s="18">
        <v>5</v>
      </c>
      <c r="Q6" s="11" t="s">
        <v>463</v>
      </c>
      <c r="R6" s="13"/>
      <c r="S6" s="19">
        <v>0</v>
      </c>
      <c r="T6" s="17"/>
      <c r="U6" s="18"/>
      <c r="V6" s="20">
        <v>3394.1</v>
      </c>
      <c r="W6" s="20"/>
      <c r="X6" s="20"/>
      <c r="Y6" s="21"/>
      <c r="Z6" s="16">
        <v>0</v>
      </c>
      <c r="AA6" s="12">
        <v>-5</v>
      </c>
      <c r="AB6" s="16">
        <v>-3394.1</v>
      </c>
      <c r="AC6" s="22" t="s">
        <v>70</v>
      </c>
      <c r="AD6" s="11"/>
      <c r="AE6" s="21" t="s">
        <v>464</v>
      </c>
      <c r="AF6" s="21"/>
      <c r="AG6" s="12">
        <v>36</v>
      </c>
      <c r="AH6" s="12">
        <v>0</v>
      </c>
      <c r="AI6" s="12">
        <v>5</v>
      </c>
      <c r="AJ6" s="9">
        <v>0</v>
      </c>
      <c r="AK6" s="9">
        <v>5</v>
      </c>
      <c r="AL6" s="14">
        <v>0</v>
      </c>
      <c r="AM6" s="14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/>
      <c r="AT6" s="9"/>
      <c r="AU6" s="9"/>
      <c r="AV6" s="9"/>
      <c r="AW6" s="23"/>
      <c r="AX6" s="10" t="s">
        <v>71</v>
      </c>
      <c r="AY6" s="13">
        <v>678.82</v>
      </c>
      <c r="AZ6" s="9">
        <v>10</v>
      </c>
      <c r="BA6" s="16">
        <v>6788.2</v>
      </c>
      <c r="BB6" s="16">
        <v>6788.2</v>
      </c>
      <c r="BC6" s="9">
        <v>0</v>
      </c>
      <c r="BD6" s="16">
        <v>0</v>
      </c>
      <c r="BE6" s="10" t="s">
        <v>72</v>
      </c>
      <c r="BF6" s="10" t="s">
        <v>95</v>
      </c>
      <c r="BG6" s="10" t="s">
        <v>94</v>
      </c>
      <c r="BH6" s="10" t="s">
        <v>74</v>
      </c>
      <c r="BI6" s="24">
        <v>1</v>
      </c>
      <c r="BJ6" s="10" t="s">
        <v>96</v>
      </c>
      <c r="BK6" s="10" t="s">
        <v>97</v>
      </c>
    </row>
    <row r="7" spans="1:63" s="1" customFormat="1" ht="17.25" customHeight="1" x14ac:dyDescent="0.2">
      <c r="A7" s="9">
        <v>6</v>
      </c>
      <c r="B7" s="10" t="s">
        <v>63</v>
      </c>
      <c r="C7" s="10" t="s">
        <v>91</v>
      </c>
      <c r="D7" s="10" t="s">
        <v>92</v>
      </c>
      <c r="E7" s="9">
        <v>2</v>
      </c>
      <c r="F7" s="10" t="s">
        <v>93</v>
      </c>
      <c r="G7" s="10" t="s">
        <v>67</v>
      </c>
      <c r="H7" s="10" t="s">
        <v>68</v>
      </c>
      <c r="I7" s="11" t="s">
        <v>98</v>
      </c>
      <c r="J7" s="12">
        <v>0</v>
      </c>
      <c r="K7" s="13">
        <v>2287.37</v>
      </c>
      <c r="L7" s="14">
        <v>2799</v>
      </c>
      <c r="M7" s="15">
        <v>10</v>
      </c>
      <c r="N7" s="16">
        <v>2134.83</v>
      </c>
      <c r="O7" s="17">
        <v>152.54</v>
      </c>
      <c r="P7" s="18">
        <v>4</v>
      </c>
      <c r="Q7" s="11" t="s">
        <v>463</v>
      </c>
      <c r="R7" s="13"/>
      <c r="S7" s="19">
        <v>0</v>
      </c>
      <c r="T7" s="17"/>
      <c r="U7" s="18"/>
      <c r="V7" s="20">
        <v>610.16</v>
      </c>
      <c r="W7" s="20"/>
      <c r="X7" s="20"/>
      <c r="Y7" s="21"/>
      <c r="Z7" s="16">
        <v>0</v>
      </c>
      <c r="AA7" s="12">
        <v>-10</v>
      </c>
      <c r="AB7" s="16">
        <v>-1525.4</v>
      </c>
      <c r="AC7" s="22" t="s">
        <v>70</v>
      </c>
      <c r="AD7" s="11"/>
      <c r="AE7" s="21" t="s">
        <v>464</v>
      </c>
      <c r="AF7" s="21"/>
      <c r="AG7" s="12">
        <v>39</v>
      </c>
      <c r="AH7" s="12">
        <v>0</v>
      </c>
      <c r="AI7" s="12">
        <v>4</v>
      </c>
      <c r="AJ7" s="9">
        <v>0</v>
      </c>
      <c r="AK7" s="9">
        <v>4</v>
      </c>
      <c r="AL7" s="14">
        <v>0</v>
      </c>
      <c r="AM7" s="14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/>
      <c r="AT7" s="9"/>
      <c r="AU7" s="9"/>
      <c r="AV7" s="9"/>
      <c r="AW7" s="23"/>
      <c r="AX7" s="10" t="s">
        <v>71</v>
      </c>
      <c r="AY7" s="13">
        <v>152.54</v>
      </c>
      <c r="AZ7" s="9">
        <v>14</v>
      </c>
      <c r="BA7" s="16">
        <v>2135.56</v>
      </c>
      <c r="BB7" s="16">
        <v>2135.56</v>
      </c>
      <c r="BC7" s="9">
        <v>0</v>
      </c>
      <c r="BD7" s="16">
        <v>0</v>
      </c>
      <c r="BE7" s="10" t="s">
        <v>72</v>
      </c>
      <c r="BF7" s="10" t="s">
        <v>95</v>
      </c>
      <c r="BG7" s="10" t="s">
        <v>98</v>
      </c>
      <c r="BH7" s="10" t="s">
        <v>74</v>
      </c>
      <c r="BI7" s="24">
        <v>1</v>
      </c>
      <c r="BJ7" s="10" t="s">
        <v>99</v>
      </c>
      <c r="BK7" s="10" t="s">
        <v>100</v>
      </c>
    </row>
    <row r="8" spans="1:63" s="1" customFormat="1" ht="17.25" customHeight="1" x14ac:dyDescent="0.2">
      <c r="A8" s="9">
        <v>7</v>
      </c>
      <c r="B8" s="10" t="s">
        <v>63</v>
      </c>
      <c r="C8" s="10" t="s">
        <v>91</v>
      </c>
      <c r="D8" s="10" t="s">
        <v>92</v>
      </c>
      <c r="E8" s="9">
        <v>3</v>
      </c>
      <c r="F8" s="10" t="s">
        <v>93</v>
      </c>
      <c r="G8" s="10" t="s">
        <v>67</v>
      </c>
      <c r="H8" s="10" t="s">
        <v>68</v>
      </c>
      <c r="I8" s="11" t="s">
        <v>101</v>
      </c>
      <c r="J8" s="12">
        <v>0</v>
      </c>
      <c r="K8" s="13">
        <v>3393.31</v>
      </c>
      <c r="L8" s="14">
        <v>2949</v>
      </c>
      <c r="M8" s="15">
        <v>10</v>
      </c>
      <c r="N8" s="16">
        <v>2249.2399999999998</v>
      </c>
      <c r="O8" s="17">
        <v>1144.07</v>
      </c>
      <c r="P8" s="18">
        <v>2</v>
      </c>
      <c r="Q8" s="11" t="s">
        <v>463</v>
      </c>
      <c r="R8" s="13"/>
      <c r="S8" s="19">
        <v>0</v>
      </c>
      <c r="T8" s="17"/>
      <c r="U8" s="18"/>
      <c r="V8" s="20">
        <v>2288.14</v>
      </c>
      <c r="W8" s="20"/>
      <c r="X8" s="20"/>
      <c r="Y8" s="21"/>
      <c r="Z8" s="16">
        <v>0</v>
      </c>
      <c r="AA8" s="12">
        <v>-5</v>
      </c>
      <c r="AB8" s="16">
        <v>-5720.35</v>
      </c>
      <c r="AC8" s="22" t="s">
        <v>70</v>
      </c>
      <c r="AD8" s="11"/>
      <c r="AE8" s="21" t="s">
        <v>464</v>
      </c>
      <c r="AF8" s="21"/>
      <c r="AG8" s="12">
        <v>14</v>
      </c>
      <c r="AH8" s="12">
        <v>0</v>
      </c>
      <c r="AI8" s="12">
        <v>2</v>
      </c>
      <c r="AJ8" s="9">
        <v>0</v>
      </c>
      <c r="AK8" s="9">
        <v>2</v>
      </c>
      <c r="AL8" s="14">
        <v>0</v>
      </c>
      <c r="AM8" s="14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/>
      <c r="AT8" s="9"/>
      <c r="AU8" s="9"/>
      <c r="AV8" s="9"/>
      <c r="AW8" s="23"/>
      <c r="AX8" s="10" t="s">
        <v>71</v>
      </c>
      <c r="AY8" s="13">
        <v>1144.07</v>
      </c>
      <c r="AZ8" s="9">
        <v>7</v>
      </c>
      <c r="BA8" s="16">
        <v>8008.49</v>
      </c>
      <c r="BB8" s="16">
        <v>8008.49</v>
      </c>
      <c r="BC8" s="9">
        <v>0</v>
      </c>
      <c r="BD8" s="16">
        <v>0</v>
      </c>
      <c r="BE8" s="10" t="s">
        <v>72</v>
      </c>
      <c r="BF8" s="10" t="s">
        <v>95</v>
      </c>
      <c r="BG8" s="10" t="s">
        <v>101</v>
      </c>
      <c r="BH8" s="10" t="s">
        <v>74</v>
      </c>
      <c r="BI8" s="24">
        <v>1</v>
      </c>
      <c r="BJ8" s="10" t="s">
        <v>102</v>
      </c>
      <c r="BK8" s="10" t="s">
        <v>103</v>
      </c>
    </row>
    <row r="9" spans="1:63" s="1" customFormat="1" ht="17.25" customHeight="1" x14ac:dyDescent="0.2">
      <c r="A9" s="9">
        <v>8</v>
      </c>
      <c r="B9" s="10" t="s">
        <v>63</v>
      </c>
      <c r="C9" s="10" t="s">
        <v>91</v>
      </c>
      <c r="D9" s="10" t="s">
        <v>92</v>
      </c>
      <c r="E9" s="9">
        <v>4</v>
      </c>
      <c r="F9" s="10" t="s">
        <v>93</v>
      </c>
      <c r="G9" s="10" t="s">
        <v>67</v>
      </c>
      <c r="H9" s="10" t="s">
        <v>68</v>
      </c>
      <c r="I9" s="11" t="s">
        <v>104</v>
      </c>
      <c r="J9" s="12">
        <v>0</v>
      </c>
      <c r="K9" s="13">
        <v>1372.12</v>
      </c>
      <c r="L9" s="14">
        <v>1399</v>
      </c>
      <c r="M9" s="15">
        <v>5</v>
      </c>
      <c r="N9" s="16">
        <v>1126.31</v>
      </c>
      <c r="O9" s="17">
        <v>245.81</v>
      </c>
      <c r="P9" s="18">
        <v>28</v>
      </c>
      <c r="Q9" s="11" t="s">
        <v>463</v>
      </c>
      <c r="R9" s="13"/>
      <c r="S9" s="19">
        <v>0</v>
      </c>
      <c r="T9" s="17"/>
      <c r="U9" s="18"/>
      <c r="V9" s="20">
        <v>6882.68</v>
      </c>
      <c r="W9" s="20"/>
      <c r="X9" s="20"/>
      <c r="Y9" s="21"/>
      <c r="Z9" s="16">
        <v>0</v>
      </c>
      <c r="AA9" s="12">
        <v>-2</v>
      </c>
      <c r="AB9" s="16">
        <v>-491.61999999999989</v>
      </c>
      <c r="AC9" s="22" t="s">
        <v>70</v>
      </c>
      <c r="AD9" s="11"/>
      <c r="AE9" s="21" t="s">
        <v>464</v>
      </c>
      <c r="AF9" s="21"/>
      <c r="AG9" s="12">
        <v>29</v>
      </c>
      <c r="AH9" s="12">
        <v>0</v>
      </c>
      <c r="AI9" s="12">
        <v>28</v>
      </c>
      <c r="AJ9" s="9">
        <v>0</v>
      </c>
      <c r="AK9" s="9">
        <v>28</v>
      </c>
      <c r="AL9" s="14">
        <v>0</v>
      </c>
      <c r="AM9" s="14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/>
      <c r="AT9" s="9"/>
      <c r="AU9" s="9"/>
      <c r="AV9" s="9"/>
      <c r="AW9" s="23"/>
      <c r="AX9" s="10" t="s">
        <v>71</v>
      </c>
      <c r="AY9" s="13">
        <v>245.81</v>
      </c>
      <c r="AZ9" s="9">
        <v>30</v>
      </c>
      <c r="BA9" s="16">
        <v>7374.3</v>
      </c>
      <c r="BB9" s="16">
        <v>7374.3</v>
      </c>
      <c r="BC9" s="9">
        <v>0</v>
      </c>
      <c r="BD9" s="16">
        <v>0</v>
      </c>
      <c r="BE9" s="10" t="s">
        <v>72</v>
      </c>
      <c r="BF9" s="10" t="s">
        <v>95</v>
      </c>
      <c r="BG9" s="10" t="s">
        <v>104</v>
      </c>
      <c r="BH9" s="10" t="s">
        <v>74</v>
      </c>
      <c r="BI9" s="24">
        <v>1</v>
      </c>
      <c r="BJ9" s="10" t="s">
        <v>105</v>
      </c>
      <c r="BK9" s="10" t="s">
        <v>106</v>
      </c>
    </row>
    <row r="10" spans="1:63" s="1" customFormat="1" ht="17.25" customHeight="1" x14ac:dyDescent="0.2">
      <c r="A10" s="9">
        <v>9</v>
      </c>
      <c r="B10" s="10" t="s">
        <v>63</v>
      </c>
      <c r="C10" s="10" t="s">
        <v>91</v>
      </c>
      <c r="D10" s="10" t="s">
        <v>107</v>
      </c>
      <c r="E10" s="9">
        <v>1</v>
      </c>
      <c r="F10" s="10" t="s">
        <v>84</v>
      </c>
      <c r="G10" s="10" t="s">
        <v>67</v>
      </c>
      <c r="H10" s="10" t="s">
        <v>68</v>
      </c>
      <c r="I10" s="11" t="s">
        <v>108</v>
      </c>
      <c r="J10" s="12">
        <v>0</v>
      </c>
      <c r="K10" s="13">
        <v>990.76</v>
      </c>
      <c r="L10" s="14">
        <v>1199</v>
      </c>
      <c r="M10" s="15">
        <v>10</v>
      </c>
      <c r="N10" s="16">
        <v>914.49</v>
      </c>
      <c r="O10" s="17">
        <v>76.27</v>
      </c>
      <c r="P10" s="18">
        <v>46</v>
      </c>
      <c r="Q10" s="11" t="s">
        <v>463</v>
      </c>
      <c r="R10" s="13"/>
      <c r="S10" s="19">
        <v>0</v>
      </c>
      <c r="T10" s="17"/>
      <c r="U10" s="18"/>
      <c r="V10" s="20">
        <v>3508.42</v>
      </c>
      <c r="W10" s="20"/>
      <c r="X10" s="20"/>
      <c r="Y10" s="21"/>
      <c r="Z10" s="16">
        <v>0</v>
      </c>
      <c r="AA10" s="12">
        <v>6</v>
      </c>
      <c r="AB10" s="16">
        <v>457.61999999999989</v>
      </c>
      <c r="AC10" s="22" t="s">
        <v>70</v>
      </c>
      <c r="AD10" s="11"/>
      <c r="AE10" s="21" t="s">
        <v>464</v>
      </c>
      <c r="AF10" s="21"/>
      <c r="AG10" s="12">
        <v>101</v>
      </c>
      <c r="AH10" s="12">
        <v>0</v>
      </c>
      <c r="AI10" s="12">
        <v>46</v>
      </c>
      <c r="AJ10" s="9">
        <v>0</v>
      </c>
      <c r="AK10" s="9">
        <v>46</v>
      </c>
      <c r="AL10" s="14">
        <v>0</v>
      </c>
      <c r="AM10" s="14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/>
      <c r="AT10" s="9"/>
      <c r="AU10" s="9"/>
      <c r="AV10" s="9"/>
      <c r="AW10" s="23"/>
      <c r="AX10" s="10" t="s">
        <v>71</v>
      </c>
      <c r="AY10" s="13">
        <v>76.27</v>
      </c>
      <c r="AZ10" s="9">
        <v>40</v>
      </c>
      <c r="BA10" s="16">
        <v>3050.8</v>
      </c>
      <c r="BB10" s="16">
        <v>3050.8</v>
      </c>
      <c r="BC10" s="9">
        <v>0</v>
      </c>
      <c r="BD10" s="16">
        <v>0</v>
      </c>
      <c r="BE10" s="10" t="s">
        <v>72</v>
      </c>
      <c r="BF10" s="10" t="s">
        <v>109</v>
      </c>
      <c r="BG10" s="10" t="s">
        <v>108</v>
      </c>
      <c r="BH10" s="10" t="s">
        <v>74</v>
      </c>
      <c r="BI10" s="24">
        <v>1</v>
      </c>
      <c r="BJ10" s="10" t="s">
        <v>110</v>
      </c>
      <c r="BK10" s="10" t="s">
        <v>111</v>
      </c>
    </row>
    <row r="11" spans="1:63" s="1" customFormat="1" ht="17.25" customHeight="1" x14ac:dyDescent="0.2">
      <c r="A11" s="9">
        <v>10</v>
      </c>
      <c r="B11" s="10" t="s">
        <v>63</v>
      </c>
      <c r="C11" s="10" t="s">
        <v>91</v>
      </c>
      <c r="D11" s="10" t="s">
        <v>107</v>
      </c>
      <c r="E11" s="9">
        <v>2</v>
      </c>
      <c r="F11" s="10" t="s">
        <v>84</v>
      </c>
      <c r="G11" s="10" t="s">
        <v>67</v>
      </c>
      <c r="H11" s="10" t="s">
        <v>68</v>
      </c>
      <c r="I11" s="11" t="s">
        <v>112</v>
      </c>
      <c r="J11" s="12">
        <v>0</v>
      </c>
      <c r="K11" s="13">
        <v>1295.8499999999999</v>
      </c>
      <c r="L11" s="14">
        <v>1449</v>
      </c>
      <c r="M11" s="15">
        <v>8</v>
      </c>
      <c r="N11" s="16">
        <v>1129.73</v>
      </c>
      <c r="O11" s="17">
        <v>166.12</v>
      </c>
      <c r="P11" s="18">
        <v>5</v>
      </c>
      <c r="Q11" s="11" t="s">
        <v>463</v>
      </c>
      <c r="R11" s="13"/>
      <c r="S11" s="19">
        <v>0</v>
      </c>
      <c r="T11" s="17"/>
      <c r="U11" s="18"/>
      <c r="V11" s="20">
        <v>830.6</v>
      </c>
      <c r="W11" s="20"/>
      <c r="X11" s="20"/>
      <c r="Y11" s="21"/>
      <c r="Z11" s="16">
        <v>0</v>
      </c>
      <c r="AA11" s="12">
        <v>-35</v>
      </c>
      <c r="AB11" s="16">
        <v>-5814.2</v>
      </c>
      <c r="AC11" s="22" t="s">
        <v>70</v>
      </c>
      <c r="AD11" s="11"/>
      <c r="AE11" s="21" t="s">
        <v>464</v>
      </c>
      <c r="AF11" s="21"/>
      <c r="AG11" s="12">
        <v>400</v>
      </c>
      <c r="AH11" s="12">
        <v>0</v>
      </c>
      <c r="AI11" s="12">
        <v>5</v>
      </c>
      <c r="AJ11" s="9">
        <v>0</v>
      </c>
      <c r="AK11" s="9">
        <v>5</v>
      </c>
      <c r="AL11" s="14">
        <v>0</v>
      </c>
      <c r="AM11" s="14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/>
      <c r="AT11" s="9"/>
      <c r="AU11" s="9"/>
      <c r="AV11" s="9"/>
      <c r="AW11" s="23"/>
      <c r="AX11" s="10" t="s">
        <v>71</v>
      </c>
      <c r="AY11" s="13">
        <v>166.12</v>
      </c>
      <c r="AZ11" s="9">
        <v>40</v>
      </c>
      <c r="BA11" s="16">
        <v>6644.8</v>
      </c>
      <c r="BB11" s="16">
        <v>6644.8</v>
      </c>
      <c r="BC11" s="9">
        <v>0</v>
      </c>
      <c r="BD11" s="16">
        <v>0</v>
      </c>
      <c r="BE11" s="10" t="s">
        <v>72</v>
      </c>
      <c r="BF11" s="10" t="s">
        <v>109</v>
      </c>
      <c r="BG11" s="10" t="s">
        <v>112</v>
      </c>
      <c r="BH11" s="10" t="s">
        <v>74</v>
      </c>
      <c r="BI11" s="24">
        <v>1</v>
      </c>
      <c r="BJ11" s="10" t="s">
        <v>113</v>
      </c>
      <c r="BK11" s="10" t="s">
        <v>114</v>
      </c>
    </row>
    <row r="12" spans="1:63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>
      <selection activeCell="AW18" sqref="AW18"/>
    </sheetView>
  </sheetViews>
  <sheetFormatPr defaultRowHeight="12.75" x14ac:dyDescent="0.2"/>
  <cols>
    <col min="1" max="1" width="5.42578125" customWidth="1"/>
    <col min="2" max="2" width="9.28515625" customWidth="1"/>
    <col min="3" max="3" width="8" customWidth="1"/>
    <col min="4" max="4" width="22" customWidth="1"/>
    <col min="5" max="5" width="5.7109375" customWidth="1"/>
    <col min="6" max="6" width="9.7109375" customWidth="1"/>
    <col min="7" max="7" width="9" customWidth="1"/>
    <col min="8" max="8" width="13" customWidth="1"/>
    <col min="9" max="9" width="17" customWidth="1"/>
    <col min="10" max="10" width="8" customWidth="1"/>
    <col min="11" max="11" width="7.85546875" customWidth="1"/>
    <col min="12" max="12" width="9.85546875" customWidth="1"/>
    <col min="13" max="13" width="7.85546875" customWidth="1"/>
    <col min="14" max="14" width="8.5703125" customWidth="1"/>
    <col min="15" max="15" width="9.5703125" customWidth="1"/>
    <col min="16" max="16" width="7.28515625" customWidth="1"/>
    <col min="17" max="17" width="15.42578125" customWidth="1"/>
    <col min="18" max="18" width="8" customWidth="1"/>
    <col min="19" max="19" width="7.28515625" customWidth="1"/>
    <col min="20" max="20" width="10" customWidth="1"/>
    <col min="21" max="21" width="6.7109375" customWidth="1"/>
    <col min="22" max="24" width="10.28515625" customWidth="1"/>
    <col min="25" max="25" width="18.5703125" customWidth="1"/>
    <col min="26" max="26" width="8.85546875" customWidth="1"/>
    <col min="27" max="27" width="6.5703125" customWidth="1"/>
    <col min="28" max="28" width="8.7109375" customWidth="1"/>
    <col min="29" max="29" width="6.85546875" customWidth="1"/>
    <col min="30" max="30" width="7.7109375" customWidth="1"/>
    <col min="31" max="31" width="7" customWidth="1"/>
    <col min="32" max="33" width="5.5703125" customWidth="1"/>
    <col min="34" max="37" width="6.85546875" customWidth="1"/>
    <col min="38" max="49" width="7.7109375" customWidth="1"/>
    <col min="50" max="50" width="12.5703125" customWidth="1"/>
    <col min="57" max="57" width="12" customWidth="1"/>
    <col min="58" max="58" width="17" customWidth="1"/>
    <col min="59" max="59" width="19" customWidth="1"/>
    <col min="60" max="60" width="5.140625" customWidth="1"/>
    <col min="61" max="61" width="9.7109375" customWidth="1"/>
    <col min="62" max="62" width="17.7109375" customWidth="1"/>
    <col min="63" max="63" width="44.140625" customWidth="1"/>
    <col min="64" max="64" width="4.7109375" customWidth="1"/>
  </cols>
  <sheetData>
    <row r="1" spans="1:63" s="1" customFormat="1" ht="4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5" t="s">
        <v>60</v>
      </c>
      <c r="BJ1" s="3" t="s">
        <v>61</v>
      </c>
      <c r="BK1" s="3" t="s">
        <v>62</v>
      </c>
    </row>
    <row r="2" spans="1:63" s="1" customFormat="1" ht="17.25" customHeight="1" x14ac:dyDescent="0.2">
      <c r="A2" s="9">
        <v>1</v>
      </c>
      <c r="B2" s="10" t="s">
        <v>63</v>
      </c>
      <c r="C2" s="10" t="s">
        <v>64</v>
      </c>
      <c r="D2" s="10" t="s">
        <v>65</v>
      </c>
      <c r="E2" s="9">
        <v>1</v>
      </c>
      <c r="F2" s="10" t="s">
        <v>66</v>
      </c>
      <c r="G2" s="10" t="s">
        <v>67</v>
      </c>
      <c r="H2" s="10" t="s">
        <v>68</v>
      </c>
      <c r="I2" s="11" t="s">
        <v>69</v>
      </c>
      <c r="J2" s="12">
        <v>0</v>
      </c>
      <c r="K2" s="13">
        <v>1944.15</v>
      </c>
      <c r="L2" s="14">
        <v>1599</v>
      </c>
      <c r="M2" s="15">
        <v>10</v>
      </c>
      <c r="N2" s="16">
        <v>1219.58</v>
      </c>
      <c r="O2" s="17">
        <v>724.57</v>
      </c>
      <c r="P2" s="18">
        <v>8</v>
      </c>
      <c r="Q2" s="11" t="s">
        <v>463</v>
      </c>
      <c r="R2" s="13"/>
      <c r="S2" s="19">
        <v>0</v>
      </c>
      <c r="T2" s="17"/>
      <c r="U2" s="18"/>
      <c r="V2" s="20">
        <v>5796.56</v>
      </c>
      <c r="W2" s="20"/>
      <c r="X2" s="20"/>
      <c r="Y2" s="21"/>
      <c r="Z2" s="16">
        <v>1.13686837721616E-13</v>
      </c>
      <c r="AA2" s="9">
        <v>0</v>
      </c>
      <c r="AB2" s="16">
        <v>9.0949470177292804E-13</v>
      </c>
      <c r="AC2" s="22" t="s">
        <v>70</v>
      </c>
      <c r="AD2" s="11"/>
      <c r="AE2" s="21" t="s">
        <v>464</v>
      </c>
      <c r="AF2" s="21"/>
      <c r="AG2" s="12">
        <v>18</v>
      </c>
      <c r="AH2" s="12">
        <v>0</v>
      </c>
      <c r="AI2" s="12">
        <v>18</v>
      </c>
      <c r="AJ2" s="9">
        <v>0</v>
      </c>
      <c r="AK2" s="9">
        <v>18</v>
      </c>
      <c r="AL2" s="14">
        <v>0</v>
      </c>
      <c r="AM2" s="14">
        <v>8</v>
      </c>
      <c r="AN2" s="9">
        <v>0</v>
      </c>
      <c r="AO2" s="9">
        <v>0</v>
      </c>
      <c r="AP2" s="9">
        <v>0</v>
      </c>
      <c r="AQ2" s="9">
        <v>0</v>
      </c>
      <c r="AR2" s="9">
        <v>10</v>
      </c>
      <c r="AS2" s="9"/>
      <c r="AT2" s="9"/>
      <c r="AU2" s="9"/>
      <c r="AV2" s="9"/>
      <c r="AW2" s="23"/>
      <c r="AX2" s="10" t="s">
        <v>71</v>
      </c>
      <c r="AY2" s="13">
        <v>724.57</v>
      </c>
      <c r="AZ2" s="9">
        <v>8</v>
      </c>
      <c r="BA2" s="16">
        <v>5796.56</v>
      </c>
      <c r="BB2" s="16">
        <v>5796.56</v>
      </c>
      <c r="BC2" s="9">
        <v>0</v>
      </c>
      <c r="BD2" s="16">
        <v>0</v>
      </c>
      <c r="BE2" s="10" t="s">
        <v>72</v>
      </c>
      <c r="BF2" s="10" t="s">
        <v>73</v>
      </c>
      <c r="BG2" s="10" t="s">
        <v>69</v>
      </c>
      <c r="BH2" s="10" t="s">
        <v>74</v>
      </c>
      <c r="BI2" s="24">
        <v>1</v>
      </c>
      <c r="BJ2" s="10" t="s">
        <v>75</v>
      </c>
      <c r="BK2" s="10" t="s">
        <v>76</v>
      </c>
    </row>
    <row r="3" spans="1:63" s="1" customFormat="1" ht="17.25" customHeight="1" x14ac:dyDescent="0.2">
      <c r="A3" s="9">
        <v>2</v>
      </c>
      <c r="B3" s="10" t="s">
        <v>63</v>
      </c>
      <c r="C3" s="10" t="s">
        <v>64</v>
      </c>
      <c r="D3" s="10" t="s">
        <v>77</v>
      </c>
      <c r="E3" s="9">
        <v>1</v>
      </c>
      <c r="F3" s="10" t="s">
        <v>78</v>
      </c>
      <c r="G3" s="10" t="s">
        <v>67</v>
      </c>
      <c r="H3" s="10" t="s">
        <v>68</v>
      </c>
      <c r="I3" s="11" t="s">
        <v>79</v>
      </c>
      <c r="J3" s="12">
        <v>0</v>
      </c>
      <c r="K3" s="13">
        <v>365.34</v>
      </c>
      <c r="L3" s="14">
        <v>379</v>
      </c>
      <c r="M3" s="15">
        <v>10</v>
      </c>
      <c r="N3" s="16">
        <v>289.07</v>
      </c>
      <c r="O3" s="17">
        <v>76.27</v>
      </c>
      <c r="P3" s="18">
        <v>0</v>
      </c>
      <c r="Q3" s="11" t="s">
        <v>463</v>
      </c>
      <c r="R3" s="13"/>
      <c r="S3" s="19">
        <v>0</v>
      </c>
      <c r="T3" s="17"/>
      <c r="U3" s="18"/>
      <c r="V3" s="20">
        <v>0</v>
      </c>
      <c r="W3" s="20"/>
      <c r="X3" s="20"/>
      <c r="Y3" s="21" t="s">
        <v>465</v>
      </c>
      <c r="Z3" s="16">
        <v>-1.4210854715202001E-14</v>
      </c>
      <c r="AA3" s="9">
        <v>-21</v>
      </c>
      <c r="AB3" s="16">
        <v>-1601.67</v>
      </c>
      <c r="AC3" s="22" t="s">
        <v>70</v>
      </c>
      <c r="AD3" s="11"/>
      <c r="AE3" s="21" t="s">
        <v>464</v>
      </c>
      <c r="AF3" s="21"/>
      <c r="AG3" s="12">
        <v>24</v>
      </c>
      <c r="AH3" s="12">
        <v>0</v>
      </c>
      <c r="AI3" s="12">
        <v>0</v>
      </c>
      <c r="AJ3" s="9">
        <v>0</v>
      </c>
      <c r="AK3" s="9">
        <v>0</v>
      </c>
      <c r="AL3" s="14">
        <v>0</v>
      </c>
      <c r="AM3" s="14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/>
      <c r="AT3" s="9"/>
      <c r="AU3" s="9"/>
      <c r="AV3" s="9"/>
      <c r="AW3" s="23"/>
      <c r="AX3" s="10" t="s">
        <v>71</v>
      </c>
      <c r="AY3" s="13">
        <v>76.27</v>
      </c>
      <c r="AZ3" s="9">
        <v>21</v>
      </c>
      <c r="BA3" s="16">
        <v>1601.67</v>
      </c>
      <c r="BB3" s="16">
        <v>1601.67</v>
      </c>
      <c r="BC3" s="9">
        <v>0</v>
      </c>
      <c r="BD3" s="16">
        <v>0</v>
      </c>
      <c r="BE3" s="10" t="s">
        <v>72</v>
      </c>
      <c r="BF3" s="10" t="s">
        <v>80</v>
      </c>
      <c r="BG3" s="10" t="s">
        <v>79</v>
      </c>
      <c r="BH3" s="10" t="s">
        <v>74</v>
      </c>
      <c r="BI3" s="24">
        <v>1</v>
      </c>
      <c r="BJ3" s="10" t="s">
        <v>81</v>
      </c>
      <c r="BK3" s="10" t="s">
        <v>82</v>
      </c>
    </row>
    <row r="4" spans="1:63" s="1" customFormat="1" ht="17.25" customHeight="1" x14ac:dyDescent="0.2">
      <c r="A4" s="9">
        <v>3</v>
      </c>
      <c r="B4" s="10" t="s">
        <v>63</v>
      </c>
      <c r="C4" s="10" t="s">
        <v>64</v>
      </c>
      <c r="D4" s="10" t="s">
        <v>83</v>
      </c>
      <c r="E4" s="9">
        <v>1</v>
      </c>
      <c r="F4" s="10" t="s">
        <v>84</v>
      </c>
      <c r="G4" s="10" t="s">
        <v>67</v>
      </c>
      <c r="H4" s="10" t="s">
        <v>68</v>
      </c>
      <c r="I4" s="11" t="s">
        <v>85</v>
      </c>
      <c r="J4" s="12">
        <v>0</v>
      </c>
      <c r="K4" s="13">
        <v>433.98</v>
      </c>
      <c r="L4" s="14">
        <v>539</v>
      </c>
      <c r="M4" s="15">
        <v>10</v>
      </c>
      <c r="N4" s="16">
        <v>411.1</v>
      </c>
      <c r="O4" s="17">
        <v>22.880000000000098</v>
      </c>
      <c r="P4" s="18">
        <v>0</v>
      </c>
      <c r="Q4" s="11" t="s">
        <v>463</v>
      </c>
      <c r="R4" s="13"/>
      <c r="S4" s="19">
        <v>0</v>
      </c>
      <c r="T4" s="17"/>
      <c r="U4" s="18"/>
      <c r="V4" s="20">
        <v>0</v>
      </c>
      <c r="W4" s="20"/>
      <c r="X4" s="20"/>
      <c r="Y4" s="21" t="s">
        <v>465</v>
      </c>
      <c r="Z4" s="16">
        <v>15.250000000000099</v>
      </c>
      <c r="AA4" s="9">
        <v>-140</v>
      </c>
      <c r="AB4" s="16">
        <v>-1068.2</v>
      </c>
      <c r="AC4" s="22" t="s">
        <v>70</v>
      </c>
      <c r="AD4" s="11"/>
      <c r="AE4" s="21" t="s">
        <v>464</v>
      </c>
      <c r="AF4" s="21"/>
      <c r="AG4" s="12">
        <v>49</v>
      </c>
      <c r="AH4" s="12">
        <v>0</v>
      </c>
      <c r="AI4" s="12">
        <v>0</v>
      </c>
      <c r="AJ4" s="9">
        <v>0</v>
      </c>
      <c r="AK4" s="9">
        <v>0</v>
      </c>
      <c r="AL4" s="14">
        <v>0</v>
      </c>
      <c r="AM4" s="14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/>
      <c r="AT4" s="9"/>
      <c r="AU4" s="9"/>
      <c r="AV4" s="9"/>
      <c r="AW4" s="23"/>
      <c r="AX4" s="10" t="s">
        <v>71</v>
      </c>
      <c r="AY4" s="13">
        <v>7.63</v>
      </c>
      <c r="AZ4" s="9">
        <v>140</v>
      </c>
      <c r="BA4" s="16">
        <v>1068.2</v>
      </c>
      <c r="BB4" s="16">
        <v>1068.2</v>
      </c>
      <c r="BC4" s="9">
        <v>0</v>
      </c>
      <c r="BD4" s="16">
        <v>0</v>
      </c>
      <c r="BE4" s="10" t="s">
        <v>72</v>
      </c>
      <c r="BF4" s="10" t="s">
        <v>86</v>
      </c>
      <c r="BG4" s="10" t="s">
        <v>85</v>
      </c>
      <c r="BH4" s="10" t="s">
        <v>74</v>
      </c>
      <c r="BI4" s="24">
        <v>1</v>
      </c>
      <c r="BJ4" s="10" t="s">
        <v>87</v>
      </c>
      <c r="BK4" s="10" t="s">
        <v>88</v>
      </c>
    </row>
    <row r="5" spans="1:63" s="1" customFormat="1" ht="17.25" customHeight="1" x14ac:dyDescent="0.2">
      <c r="A5" s="9">
        <v>4</v>
      </c>
      <c r="B5" s="10" t="s">
        <v>63</v>
      </c>
      <c r="C5" s="10" t="s">
        <v>64</v>
      </c>
      <c r="D5" s="10" t="s">
        <v>83</v>
      </c>
      <c r="E5" s="9">
        <v>2</v>
      </c>
      <c r="F5" s="10" t="s">
        <v>84</v>
      </c>
      <c r="G5" s="10" t="s">
        <v>67</v>
      </c>
      <c r="H5" s="10" t="s">
        <v>68</v>
      </c>
      <c r="I5" s="11" t="s">
        <v>69</v>
      </c>
      <c r="J5" s="12">
        <v>0</v>
      </c>
      <c r="K5" s="13">
        <v>1219.58</v>
      </c>
      <c r="L5" s="14">
        <v>1599</v>
      </c>
      <c r="M5" s="15">
        <v>10</v>
      </c>
      <c r="N5" s="16">
        <v>1219.58</v>
      </c>
      <c r="O5" s="17">
        <v>0</v>
      </c>
      <c r="P5" s="18">
        <v>10</v>
      </c>
      <c r="Q5" s="11" t="s">
        <v>463</v>
      </c>
      <c r="R5" s="13"/>
      <c r="S5" s="19">
        <v>0</v>
      </c>
      <c r="T5" s="17"/>
      <c r="U5" s="18"/>
      <c r="V5" s="20">
        <v>0</v>
      </c>
      <c r="W5" s="20"/>
      <c r="X5" s="20"/>
      <c r="Y5" s="21"/>
      <c r="Z5" s="16">
        <v>-724.57</v>
      </c>
      <c r="AA5" s="9">
        <v>0</v>
      </c>
      <c r="AB5" s="16">
        <v>-7245.7</v>
      </c>
      <c r="AC5" s="22" t="s">
        <v>70</v>
      </c>
      <c r="AD5" s="11"/>
      <c r="AE5" s="21" t="s">
        <v>466</v>
      </c>
      <c r="AF5" s="21" t="s">
        <v>467</v>
      </c>
      <c r="AG5" s="12">
        <v>10</v>
      </c>
      <c r="AH5" s="12">
        <v>0</v>
      </c>
      <c r="AI5" s="12">
        <v>10</v>
      </c>
      <c r="AJ5" s="9">
        <v>0</v>
      </c>
      <c r="AK5" s="9">
        <v>10</v>
      </c>
      <c r="AL5" s="14">
        <v>0</v>
      </c>
      <c r="AM5" s="14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/>
      <c r="AT5" s="9"/>
      <c r="AU5" s="9"/>
      <c r="AV5" s="9"/>
      <c r="AW5" s="23"/>
      <c r="AX5" s="10" t="s">
        <v>71</v>
      </c>
      <c r="AY5" s="13">
        <v>724.57</v>
      </c>
      <c r="AZ5" s="9">
        <v>10</v>
      </c>
      <c r="BA5" s="16">
        <v>7245.7</v>
      </c>
      <c r="BB5" s="16">
        <v>7245.7</v>
      </c>
      <c r="BC5" s="9">
        <v>0</v>
      </c>
      <c r="BD5" s="16">
        <v>0</v>
      </c>
      <c r="BE5" s="10" t="s">
        <v>72</v>
      </c>
      <c r="BF5" s="10" t="s">
        <v>86</v>
      </c>
      <c r="BG5" s="10" t="s">
        <v>69</v>
      </c>
      <c r="BH5" s="10" t="s">
        <v>74</v>
      </c>
      <c r="BI5" s="24">
        <v>1</v>
      </c>
      <c r="BJ5" s="10" t="s">
        <v>89</v>
      </c>
      <c r="BK5" s="10" t="s">
        <v>90</v>
      </c>
    </row>
    <row r="6" spans="1:63" s="1" customFormat="1" ht="17.25" customHeight="1" x14ac:dyDescent="0.2">
      <c r="A6" s="9">
        <v>5</v>
      </c>
      <c r="B6" s="10" t="s">
        <v>63</v>
      </c>
      <c r="C6" s="10" t="s">
        <v>91</v>
      </c>
      <c r="D6" s="10" t="s">
        <v>92</v>
      </c>
      <c r="E6" s="9">
        <v>1</v>
      </c>
      <c r="F6" s="10" t="s">
        <v>93</v>
      </c>
      <c r="G6" s="10" t="s">
        <v>67</v>
      </c>
      <c r="H6" s="10" t="s">
        <v>68</v>
      </c>
      <c r="I6" s="11" t="s">
        <v>94</v>
      </c>
      <c r="J6" s="12">
        <v>0</v>
      </c>
      <c r="K6" s="13">
        <v>2279.75</v>
      </c>
      <c r="L6" s="14">
        <v>2099</v>
      </c>
      <c r="M6" s="15">
        <v>10</v>
      </c>
      <c r="N6" s="16">
        <v>1600.93</v>
      </c>
      <c r="O6" s="17">
        <v>678.82</v>
      </c>
      <c r="P6" s="18">
        <v>5</v>
      </c>
      <c r="Q6" s="11" t="s">
        <v>463</v>
      </c>
      <c r="R6" s="13"/>
      <c r="S6" s="19">
        <v>0</v>
      </c>
      <c r="T6" s="17"/>
      <c r="U6" s="18"/>
      <c r="V6" s="20">
        <v>3394.1</v>
      </c>
      <c r="W6" s="20"/>
      <c r="X6" s="20"/>
      <c r="Y6" s="21"/>
      <c r="Z6" s="16">
        <v>-1.13686837721616E-13</v>
      </c>
      <c r="AA6" s="9">
        <v>-5</v>
      </c>
      <c r="AB6" s="16">
        <v>-3394.1</v>
      </c>
      <c r="AC6" s="22" t="s">
        <v>70</v>
      </c>
      <c r="AD6" s="11"/>
      <c r="AE6" s="21" t="s">
        <v>464</v>
      </c>
      <c r="AF6" s="21"/>
      <c r="AG6" s="12">
        <v>36</v>
      </c>
      <c r="AH6" s="12">
        <v>0</v>
      </c>
      <c r="AI6" s="12">
        <v>5</v>
      </c>
      <c r="AJ6" s="9">
        <v>0</v>
      </c>
      <c r="AK6" s="9">
        <v>5</v>
      </c>
      <c r="AL6" s="14">
        <v>0</v>
      </c>
      <c r="AM6" s="14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/>
      <c r="AT6" s="9"/>
      <c r="AU6" s="9"/>
      <c r="AV6" s="9"/>
      <c r="AW6" s="23"/>
      <c r="AX6" s="10" t="s">
        <v>71</v>
      </c>
      <c r="AY6" s="13">
        <v>678.82</v>
      </c>
      <c r="AZ6" s="9">
        <v>10</v>
      </c>
      <c r="BA6" s="16">
        <v>6788.2</v>
      </c>
      <c r="BB6" s="16">
        <v>6788.2</v>
      </c>
      <c r="BC6" s="9">
        <v>0</v>
      </c>
      <c r="BD6" s="16">
        <v>0</v>
      </c>
      <c r="BE6" s="10" t="s">
        <v>72</v>
      </c>
      <c r="BF6" s="10" t="s">
        <v>95</v>
      </c>
      <c r="BG6" s="10" t="s">
        <v>94</v>
      </c>
      <c r="BH6" s="10" t="s">
        <v>74</v>
      </c>
      <c r="BI6" s="24">
        <v>1</v>
      </c>
      <c r="BJ6" s="10" t="s">
        <v>96</v>
      </c>
      <c r="BK6" s="10" t="s">
        <v>97</v>
      </c>
    </row>
    <row r="7" spans="1:63" s="1" customFormat="1" ht="17.25" customHeight="1" x14ac:dyDescent="0.2">
      <c r="A7" s="9">
        <v>6</v>
      </c>
      <c r="B7" s="10" t="s">
        <v>63</v>
      </c>
      <c r="C7" s="10" t="s">
        <v>91</v>
      </c>
      <c r="D7" s="10" t="s">
        <v>92</v>
      </c>
      <c r="E7" s="9">
        <v>2</v>
      </c>
      <c r="F7" s="10" t="s">
        <v>93</v>
      </c>
      <c r="G7" s="10" t="s">
        <v>67</v>
      </c>
      <c r="H7" s="10" t="s">
        <v>68</v>
      </c>
      <c r="I7" s="11" t="s">
        <v>98</v>
      </c>
      <c r="J7" s="12">
        <v>0</v>
      </c>
      <c r="K7" s="13">
        <v>2287.37</v>
      </c>
      <c r="L7" s="14">
        <v>2799</v>
      </c>
      <c r="M7" s="15">
        <v>10</v>
      </c>
      <c r="N7" s="16">
        <v>2134.83</v>
      </c>
      <c r="O7" s="17">
        <v>152.54</v>
      </c>
      <c r="P7" s="18">
        <v>4</v>
      </c>
      <c r="Q7" s="11" t="s">
        <v>463</v>
      </c>
      <c r="R7" s="13"/>
      <c r="S7" s="19">
        <v>0</v>
      </c>
      <c r="T7" s="17"/>
      <c r="U7" s="18"/>
      <c r="V7" s="20">
        <v>610.16</v>
      </c>
      <c r="W7" s="20"/>
      <c r="X7" s="20"/>
      <c r="Y7" s="21"/>
      <c r="Z7" s="16">
        <v>-2.8421709430404001E-14</v>
      </c>
      <c r="AA7" s="9">
        <v>-10</v>
      </c>
      <c r="AB7" s="16">
        <v>-1525.4</v>
      </c>
      <c r="AC7" s="22" t="s">
        <v>70</v>
      </c>
      <c r="AD7" s="11"/>
      <c r="AE7" s="21" t="s">
        <v>464</v>
      </c>
      <c r="AF7" s="21"/>
      <c r="AG7" s="12">
        <v>39</v>
      </c>
      <c r="AH7" s="12">
        <v>0</v>
      </c>
      <c r="AI7" s="12">
        <v>4</v>
      </c>
      <c r="AJ7" s="9">
        <v>0</v>
      </c>
      <c r="AK7" s="9">
        <v>4</v>
      </c>
      <c r="AL7" s="14">
        <v>0</v>
      </c>
      <c r="AM7" s="14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/>
      <c r="AT7" s="9"/>
      <c r="AU7" s="9"/>
      <c r="AV7" s="9"/>
      <c r="AW7" s="23"/>
      <c r="AX7" s="10" t="s">
        <v>71</v>
      </c>
      <c r="AY7" s="13">
        <v>152.54</v>
      </c>
      <c r="AZ7" s="9">
        <v>14</v>
      </c>
      <c r="BA7" s="16">
        <v>2135.56</v>
      </c>
      <c r="BB7" s="16">
        <v>2135.56</v>
      </c>
      <c r="BC7" s="9">
        <v>0</v>
      </c>
      <c r="BD7" s="16">
        <v>0</v>
      </c>
      <c r="BE7" s="10" t="s">
        <v>72</v>
      </c>
      <c r="BF7" s="10" t="s">
        <v>95</v>
      </c>
      <c r="BG7" s="10" t="s">
        <v>98</v>
      </c>
      <c r="BH7" s="10" t="s">
        <v>74</v>
      </c>
      <c r="BI7" s="24">
        <v>1</v>
      </c>
      <c r="BJ7" s="10" t="s">
        <v>99</v>
      </c>
      <c r="BK7" s="10" t="s">
        <v>100</v>
      </c>
    </row>
    <row r="8" spans="1:63" s="1" customFormat="1" ht="17.25" customHeight="1" x14ac:dyDescent="0.2">
      <c r="A8" s="9">
        <v>7</v>
      </c>
      <c r="B8" s="10" t="s">
        <v>63</v>
      </c>
      <c r="C8" s="10" t="s">
        <v>91</v>
      </c>
      <c r="D8" s="10" t="s">
        <v>92</v>
      </c>
      <c r="E8" s="9">
        <v>3</v>
      </c>
      <c r="F8" s="10" t="s">
        <v>93</v>
      </c>
      <c r="G8" s="10" t="s">
        <v>67</v>
      </c>
      <c r="H8" s="10" t="s">
        <v>68</v>
      </c>
      <c r="I8" s="11" t="s">
        <v>101</v>
      </c>
      <c r="J8" s="12">
        <v>0</v>
      </c>
      <c r="K8" s="13">
        <v>3393.31</v>
      </c>
      <c r="L8" s="14">
        <v>2949</v>
      </c>
      <c r="M8" s="15">
        <v>10</v>
      </c>
      <c r="N8" s="16">
        <v>2249.2399999999998</v>
      </c>
      <c r="O8" s="17">
        <v>1144.07</v>
      </c>
      <c r="P8" s="18">
        <v>2</v>
      </c>
      <c r="Q8" s="11" t="s">
        <v>463</v>
      </c>
      <c r="R8" s="13"/>
      <c r="S8" s="19">
        <v>0</v>
      </c>
      <c r="T8" s="17"/>
      <c r="U8" s="18"/>
      <c r="V8" s="20">
        <v>2288.14</v>
      </c>
      <c r="W8" s="20"/>
      <c r="X8" s="20"/>
      <c r="Y8" s="21"/>
      <c r="Z8" s="16">
        <v>2.2737367544323201E-13</v>
      </c>
      <c r="AA8" s="9">
        <v>-5</v>
      </c>
      <c r="AB8" s="16">
        <v>-5720.35</v>
      </c>
      <c r="AC8" s="22" t="s">
        <v>70</v>
      </c>
      <c r="AD8" s="11"/>
      <c r="AE8" s="21" t="s">
        <v>464</v>
      </c>
      <c r="AF8" s="21"/>
      <c r="AG8" s="12">
        <v>14</v>
      </c>
      <c r="AH8" s="12">
        <v>0</v>
      </c>
      <c r="AI8" s="12">
        <v>2</v>
      </c>
      <c r="AJ8" s="9">
        <v>0</v>
      </c>
      <c r="AK8" s="9">
        <v>2</v>
      </c>
      <c r="AL8" s="14">
        <v>0</v>
      </c>
      <c r="AM8" s="14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/>
      <c r="AT8" s="9"/>
      <c r="AU8" s="9"/>
      <c r="AV8" s="9"/>
      <c r="AW8" s="23"/>
      <c r="AX8" s="10" t="s">
        <v>71</v>
      </c>
      <c r="AY8" s="13">
        <v>1144.07</v>
      </c>
      <c r="AZ8" s="9">
        <v>7</v>
      </c>
      <c r="BA8" s="16">
        <v>8008.49</v>
      </c>
      <c r="BB8" s="16">
        <v>8008.49</v>
      </c>
      <c r="BC8" s="9">
        <v>0</v>
      </c>
      <c r="BD8" s="16">
        <v>0</v>
      </c>
      <c r="BE8" s="10" t="s">
        <v>72</v>
      </c>
      <c r="BF8" s="10" t="s">
        <v>95</v>
      </c>
      <c r="BG8" s="10" t="s">
        <v>101</v>
      </c>
      <c r="BH8" s="10" t="s">
        <v>74</v>
      </c>
      <c r="BI8" s="24">
        <v>1</v>
      </c>
      <c r="BJ8" s="10" t="s">
        <v>102</v>
      </c>
      <c r="BK8" s="10" t="s">
        <v>103</v>
      </c>
    </row>
    <row r="9" spans="1:63" s="1" customFormat="1" ht="17.25" customHeight="1" x14ac:dyDescent="0.2">
      <c r="A9" s="9">
        <v>8</v>
      </c>
      <c r="B9" s="10" t="s">
        <v>63</v>
      </c>
      <c r="C9" s="10" t="s">
        <v>91</v>
      </c>
      <c r="D9" s="10" t="s">
        <v>92</v>
      </c>
      <c r="E9" s="9">
        <v>4</v>
      </c>
      <c r="F9" s="10" t="s">
        <v>93</v>
      </c>
      <c r="G9" s="10" t="s">
        <v>67</v>
      </c>
      <c r="H9" s="10" t="s">
        <v>68</v>
      </c>
      <c r="I9" s="11" t="s">
        <v>104</v>
      </c>
      <c r="J9" s="12">
        <v>0</v>
      </c>
      <c r="K9" s="13">
        <v>1372.12</v>
      </c>
      <c r="L9" s="14">
        <v>1399</v>
      </c>
      <c r="M9" s="15">
        <v>5</v>
      </c>
      <c r="N9" s="16">
        <v>1126.31</v>
      </c>
      <c r="O9" s="17">
        <v>245.81</v>
      </c>
      <c r="P9" s="18">
        <v>28</v>
      </c>
      <c r="Q9" s="11" t="s">
        <v>463</v>
      </c>
      <c r="R9" s="13"/>
      <c r="S9" s="19">
        <v>0</v>
      </c>
      <c r="T9" s="17"/>
      <c r="U9" s="18"/>
      <c r="V9" s="20">
        <v>6882.68</v>
      </c>
      <c r="W9" s="20"/>
      <c r="X9" s="20"/>
      <c r="Y9" s="21"/>
      <c r="Z9" s="16">
        <v>1.7053025658242399E-13</v>
      </c>
      <c r="AA9" s="9">
        <v>-2</v>
      </c>
      <c r="AB9" s="16">
        <v>-491.619999999995</v>
      </c>
      <c r="AC9" s="22" t="s">
        <v>70</v>
      </c>
      <c r="AD9" s="11"/>
      <c r="AE9" s="21" t="s">
        <v>464</v>
      </c>
      <c r="AF9" s="21"/>
      <c r="AG9" s="12">
        <v>29</v>
      </c>
      <c r="AH9" s="12">
        <v>0</v>
      </c>
      <c r="AI9" s="12">
        <v>28</v>
      </c>
      <c r="AJ9" s="9">
        <v>0</v>
      </c>
      <c r="AK9" s="9">
        <v>28</v>
      </c>
      <c r="AL9" s="14">
        <v>0</v>
      </c>
      <c r="AM9" s="14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/>
      <c r="AT9" s="9"/>
      <c r="AU9" s="9"/>
      <c r="AV9" s="9"/>
      <c r="AW9" s="23"/>
      <c r="AX9" s="10" t="s">
        <v>71</v>
      </c>
      <c r="AY9" s="13">
        <v>245.81</v>
      </c>
      <c r="AZ9" s="9">
        <v>30</v>
      </c>
      <c r="BA9" s="16">
        <v>7374.3</v>
      </c>
      <c r="BB9" s="16">
        <v>7374.3</v>
      </c>
      <c r="BC9" s="9">
        <v>0</v>
      </c>
      <c r="BD9" s="16">
        <v>0</v>
      </c>
      <c r="BE9" s="10" t="s">
        <v>72</v>
      </c>
      <c r="BF9" s="10" t="s">
        <v>95</v>
      </c>
      <c r="BG9" s="10" t="s">
        <v>104</v>
      </c>
      <c r="BH9" s="10" t="s">
        <v>74</v>
      </c>
      <c r="BI9" s="24">
        <v>1</v>
      </c>
      <c r="BJ9" s="10" t="s">
        <v>105</v>
      </c>
      <c r="BK9" s="10" t="s">
        <v>106</v>
      </c>
    </row>
    <row r="10" spans="1:63" s="1" customFormat="1" ht="17.25" customHeight="1" x14ac:dyDescent="0.2">
      <c r="A10" s="9">
        <v>9</v>
      </c>
      <c r="B10" s="10" t="s">
        <v>63</v>
      </c>
      <c r="C10" s="10" t="s">
        <v>91</v>
      </c>
      <c r="D10" s="10" t="s">
        <v>107</v>
      </c>
      <c r="E10" s="9">
        <v>1</v>
      </c>
      <c r="F10" s="10" t="s">
        <v>84</v>
      </c>
      <c r="G10" s="10" t="s">
        <v>67</v>
      </c>
      <c r="H10" s="10" t="s">
        <v>68</v>
      </c>
      <c r="I10" s="11" t="s">
        <v>108</v>
      </c>
      <c r="J10" s="12">
        <v>0</v>
      </c>
      <c r="K10" s="13">
        <v>990.76</v>
      </c>
      <c r="L10" s="14">
        <v>1199</v>
      </c>
      <c r="M10" s="15">
        <v>10</v>
      </c>
      <c r="N10" s="16">
        <v>914.49</v>
      </c>
      <c r="O10" s="17">
        <v>76.27</v>
      </c>
      <c r="P10" s="18">
        <v>46</v>
      </c>
      <c r="Q10" s="11" t="s">
        <v>463</v>
      </c>
      <c r="R10" s="13"/>
      <c r="S10" s="19">
        <v>0</v>
      </c>
      <c r="T10" s="17"/>
      <c r="U10" s="18"/>
      <c r="V10" s="20">
        <v>3508.42</v>
      </c>
      <c r="W10" s="20"/>
      <c r="X10" s="20"/>
      <c r="Y10" s="21"/>
      <c r="Z10" s="16">
        <v>-1.4210854715202001E-14</v>
      </c>
      <c r="AA10" s="9">
        <v>6</v>
      </c>
      <c r="AB10" s="16">
        <v>457.61999999999898</v>
      </c>
      <c r="AC10" s="22" t="s">
        <v>70</v>
      </c>
      <c r="AD10" s="11"/>
      <c r="AE10" s="21" t="s">
        <v>464</v>
      </c>
      <c r="AF10" s="21"/>
      <c r="AG10" s="12">
        <v>101</v>
      </c>
      <c r="AH10" s="12">
        <v>0</v>
      </c>
      <c r="AI10" s="12">
        <v>46</v>
      </c>
      <c r="AJ10" s="9">
        <v>0</v>
      </c>
      <c r="AK10" s="9">
        <v>46</v>
      </c>
      <c r="AL10" s="14">
        <v>0</v>
      </c>
      <c r="AM10" s="14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/>
      <c r="AT10" s="9"/>
      <c r="AU10" s="9"/>
      <c r="AV10" s="9"/>
      <c r="AW10" s="23"/>
      <c r="AX10" s="10" t="s">
        <v>71</v>
      </c>
      <c r="AY10" s="13">
        <v>76.27</v>
      </c>
      <c r="AZ10" s="9">
        <v>40</v>
      </c>
      <c r="BA10" s="16">
        <v>3050.8</v>
      </c>
      <c r="BB10" s="16">
        <v>3050.8</v>
      </c>
      <c r="BC10" s="9">
        <v>0</v>
      </c>
      <c r="BD10" s="16">
        <v>0</v>
      </c>
      <c r="BE10" s="10" t="s">
        <v>72</v>
      </c>
      <c r="BF10" s="10" t="s">
        <v>109</v>
      </c>
      <c r="BG10" s="10" t="s">
        <v>108</v>
      </c>
      <c r="BH10" s="10" t="s">
        <v>74</v>
      </c>
      <c r="BI10" s="24">
        <v>1</v>
      </c>
      <c r="BJ10" s="10" t="s">
        <v>110</v>
      </c>
      <c r="BK10" s="10" t="s">
        <v>111</v>
      </c>
    </row>
    <row r="11" spans="1:63" s="1" customFormat="1" ht="17.25" customHeight="1" x14ac:dyDescent="0.2">
      <c r="A11" s="9">
        <v>10</v>
      </c>
      <c r="B11" s="10" t="s">
        <v>63</v>
      </c>
      <c r="C11" s="10" t="s">
        <v>91</v>
      </c>
      <c r="D11" s="10" t="s">
        <v>107</v>
      </c>
      <c r="E11" s="9">
        <v>2</v>
      </c>
      <c r="F11" s="10" t="s">
        <v>84</v>
      </c>
      <c r="G11" s="10" t="s">
        <v>67</v>
      </c>
      <c r="H11" s="10" t="s">
        <v>68</v>
      </c>
      <c r="I11" s="11" t="s">
        <v>112</v>
      </c>
      <c r="J11" s="12">
        <v>0</v>
      </c>
      <c r="K11" s="13">
        <v>1295.8499999999999</v>
      </c>
      <c r="L11" s="14">
        <v>1449</v>
      </c>
      <c r="M11" s="15">
        <v>8</v>
      </c>
      <c r="N11" s="16">
        <v>1129.73</v>
      </c>
      <c r="O11" s="17">
        <v>166.12</v>
      </c>
      <c r="P11" s="18">
        <v>5</v>
      </c>
      <c r="Q11" s="11" t="s">
        <v>463</v>
      </c>
      <c r="R11" s="13"/>
      <c r="S11" s="19">
        <v>0</v>
      </c>
      <c r="T11" s="17"/>
      <c r="U11" s="18"/>
      <c r="V11" s="20">
        <v>830.599999999999</v>
      </c>
      <c r="W11" s="20"/>
      <c r="X11" s="20"/>
      <c r="Y11" s="21"/>
      <c r="Z11" s="16">
        <v>-1.13686837721616E-13</v>
      </c>
      <c r="AA11" s="9">
        <v>-35</v>
      </c>
      <c r="AB11" s="16">
        <v>-5814.2</v>
      </c>
      <c r="AC11" s="22" t="s">
        <v>70</v>
      </c>
      <c r="AD11" s="11"/>
      <c r="AE11" s="21" t="s">
        <v>464</v>
      </c>
      <c r="AF11" s="21"/>
      <c r="AG11" s="12">
        <v>400</v>
      </c>
      <c r="AH11" s="12">
        <v>0</v>
      </c>
      <c r="AI11" s="12">
        <v>5</v>
      </c>
      <c r="AJ11" s="9">
        <v>0</v>
      </c>
      <c r="AK11" s="9">
        <v>5</v>
      </c>
      <c r="AL11" s="14">
        <v>0</v>
      </c>
      <c r="AM11" s="14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/>
      <c r="AT11" s="9"/>
      <c r="AU11" s="9"/>
      <c r="AV11" s="9"/>
      <c r="AW11" s="23"/>
      <c r="AX11" s="10" t="s">
        <v>71</v>
      </c>
      <c r="AY11" s="13">
        <v>166.12</v>
      </c>
      <c r="AZ11" s="9">
        <v>40</v>
      </c>
      <c r="BA11" s="16">
        <v>6644.8</v>
      </c>
      <c r="BB11" s="16">
        <v>6644.8</v>
      </c>
      <c r="BC11" s="9">
        <v>0</v>
      </c>
      <c r="BD11" s="16">
        <v>0</v>
      </c>
      <c r="BE11" s="10" t="s">
        <v>72</v>
      </c>
      <c r="BF11" s="10" t="s">
        <v>109</v>
      </c>
      <c r="BG11" s="10" t="s">
        <v>112</v>
      </c>
      <c r="BH11" s="10" t="s">
        <v>74</v>
      </c>
      <c r="BI11" s="24">
        <v>1</v>
      </c>
      <c r="BJ11" s="10" t="s">
        <v>113</v>
      </c>
      <c r="BK11" s="10" t="s">
        <v>114</v>
      </c>
    </row>
    <row r="12" spans="1:63" s="1" customFormat="1" ht="28.35" customHeight="1" x14ac:dyDescent="0.2"/>
  </sheetData>
  <autoFilter ref="A1:BK11"/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63"/>
  <sheetViews>
    <sheetView workbookViewId="0">
      <selection activeCell="I66" sqref="I66"/>
    </sheetView>
  </sheetViews>
  <sheetFormatPr defaultRowHeight="12.75" x14ac:dyDescent="0.2"/>
  <cols>
    <col min="1" max="1" width="14.7109375" customWidth="1"/>
    <col min="2" max="2" width="15.85546875" customWidth="1"/>
    <col min="3" max="31" width="14.7109375" customWidth="1"/>
    <col min="32" max="32" width="4.7109375" customWidth="1"/>
  </cols>
  <sheetData>
    <row r="1" spans="1:31" s="1" customFormat="1" ht="18" customHeight="1" x14ac:dyDescent="0.2">
      <c r="A1" s="25" t="s">
        <v>115</v>
      </c>
      <c r="B1" s="25" t="s">
        <v>116</v>
      </c>
      <c r="C1" s="25" t="s">
        <v>117</v>
      </c>
      <c r="D1" s="25" t="s">
        <v>118</v>
      </c>
      <c r="E1" s="25" t="s">
        <v>119</v>
      </c>
      <c r="F1" s="25" t="s">
        <v>120</v>
      </c>
      <c r="G1" s="25" t="s">
        <v>121</v>
      </c>
      <c r="H1" s="25" t="s">
        <v>122</v>
      </c>
      <c r="I1" s="25" t="s">
        <v>123</v>
      </c>
      <c r="J1" s="25" t="s">
        <v>124</v>
      </c>
      <c r="K1" s="25" t="s">
        <v>125</v>
      </c>
      <c r="L1" s="26" t="s">
        <v>126</v>
      </c>
      <c r="M1" s="26" t="s">
        <v>127</v>
      </c>
      <c r="N1" s="25" t="s">
        <v>128</v>
      </c>
      <c r="O1" s="25" t="s">
        <v>129</v>
      </c>
      <c r="P1" s="26" t="s">
        <v>130</v>
      </c>
      <c r="Q1" s="26" t="s">
        <v>131</v>
      </c>
      <c r="R1" s="25" t="s">
        <v>132</v>
      </c>
      <c r="S1" s="25" t="s">
        <v>133</v>
      </c>
      <c r="T1" s="26" t="s">
        <v>134</v>
      </c>
      <c r="U1" s="26" t="s">
        <v>135</v>
      </c>
      <c r="V1" s="25" t="s">
        <v>136</v>
      </c>
      <c r="W1" s="25" t="s">
        <v>137</v>
      </c>
      <c r="X1" s="26" t="s">
        <v>138</v>
      </c>
      <c r="Y1" s="26" t="s">
        <v>139</v>
      </c>
      <c r="Z1" s="25" t="s">
        <v>140</v>
      </c>
      <c r="AA1" s="25" t="s">
        <v>141</v>
      </c>
      <c r="AB1" s="26" t="s">
        <v>142</v>
      </c>
      <c r="AC1" s="26" t="s">
        <v>143</v>
      </c>
      <c r="AD1" s="25" t="s">
        <v>144</v>
      </c>
      <c r="AE1" s="25" t="s">
        <v>145</v>
      </c>
    </row>
    <row r="2" spans="1:31" s="1" customFormat="1" hidden="1" x14ac:dyDescent="0.2">
      <c r="A2" t="s">
        <v>68</v>
      </c>
      <c r="B2" t="s">
        <v>468</v>
      </c>
      <c r="C2" t="s">
        <v>474</v>
      </c>
      <c r="D2" t="s">
        <v>94</v>
      </c>
      <c r="E2" s="42">
        <v>45382</v>
      </c>
      <c r="F2"/>
      <c r="G2"/>
      <c r="H2"/>
      <c r="I2"/>
      <c r="J2">
        <v>36</v>
      </c>
      <c r="K2"/>
      <c r="L2">
        <v>2099</v>
      </c>
      <c r="M2" t="s">
        <v>124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idden="1" x14ac:dyDescent="0.2">
      <c r="A3" t="s">
        <v>68</v>
      </c>
      <c r="B3" t="s">
        <v>468</v>
      </c>
      <c r="C3" t="s">
        <v>98</v>
      </c>
      <c r="D3" t="s">
        <v>98</v>
      </c>
      <c r="E3" s="42">
        <v>45382</v>
      </c>
      <c r="J3">
        <v>39</v>
      </c>
      <c r="L3">
        <v>2799</v>
      </c>
      <c r="M3" t="s">
        <v>124</v>
      </c>
    </row>
    <row r="4" spans="1:31" hidden="1" x14ac:dyDescent="0.2">
      <c r="A4" t="s">
        <v>68</v>
      </c>
      <c r="B4" t="s">
        <v>468</v>
      </c>
      <c r="C4" t="s">
        <v>478</v>
      </c>
      <c r="D4" t="s">
        <v>101</v>
      </c>
      <c r="E4" s="42">
        <v>45382</v>
      </c>
      <c r="J4">
        <v>14</v>
      </c>
      <c r="L4">
        <v>2949</v>
      </c>
      <c r="M4" t="s">
        <v>124</v>
      </c>
    </row>
    <row r="5" spans="1:31" hidden="1" x14ac:dyDescent="0.2">
      <c r="A5" t="s">
        <v>68</v>
      </c>
      <c r="B5" t="s">
        <v>468</v>
      </c>
      <c r="C5" t="s">
        <v>481</v>
      </c>
      <c r="D5" t="s">
        <v>104</v>
      </c>
      <c r="E5" s="42">
        <v>45382</v>
      </c>
      <c r="J5">
        <v>29</v>
      </c>
      <c r="L5">
        <v>1399</v>
      </c>
      <c r="M5" t="s">
        <v>124</v>
      </c>
    </row>
    <row r="6" spans="1:31" hidden="1" x14ac:dyDescent="0.2">
      <c r="A6" t="s">
        <v>68</v>
      </c>
      <c r="B6" t="s">
        <v>468</v>
      </c>
      <c r="C6" t="s">
        <v>481</v>
      </c>
      <c r="D6" t="s">
        <v>104</v>
      </c>
      <c r="E6" s="42">
        <v>45385</v>
      </c>
      <c r="F6" t="s">
        <v>467</v>
      </c>
      <c r="G6" t="s">
        <v>470</v>
      </c>
      <c r="H6">
        <v>1</v>
      </c>
      <c r="I6">
        <v>1185.5932</v>
      </c>
      <c r="K6">
        <v>1398.9999760000001</v>
      </c>
      <c r="L6">
        <v>1399</v>
      </c>
      <c r="M6" t="s">
        <v>471</v>
      </c>
    </row>
    <row r="7" spans="1:31" hidden="1" x14ac:dyDescent="0.2">
      <c r="A7" t="s">
        <v>68</v>
      </c>
      <c r="B7" t="s">
        <v>468</v>
      </c>
      <c r="C7" t="s">
        <v>481</v>
      </c>
      <c r="D7" t="s">
        <v>104</v>
      </c>
      <c r="E7" s="42">
        <v>45385</v>
      </c>
      <c r="F7" t="s">
        <v>467</v>
      </c>
      <c r="G7" t="s">
        <v>470</v>
      </c>
      <c r="H7">
        <v>1</v>
      </c>
      <c r="I7">
        <v>1185.5932</v>
      </c>
      <c r="K7">
        <v>1398.9999760000001</v>
      </c>
      <c r="L7">
        <v>1399</v>
      </c>
      <c r="M7" t="s">
        <v>471</v>
      </c>
    </row>
    <row r="8" spans="1:31" hidden="1" x14ac:dyDescent="0.2">
      <c r="A8" t="s">
        <v>68</v>
      </c>
      <c r="B8" t="s">
        <v>468</v>
      </c>
      <c r="C8" t="s">
        <v>481</v>
      </c>
      <c r="D8" t="s">
        <v>104</v>
      </c>
      <c r="E8" s="42">
        <v>45385</v>
      </c>
      <c r="F8" t="s">
        <v>467</v>
      </c>
      <c r="G8" t="s">
        <v>470</v>
      </c>
      <c r="H8">
        <v>2</v>
      </c>
      <c r="I8">
        <v>2371.1864</v>
      </c>
      <c r="K8">
        <v>1398.9999760000001</v>
      </c>
      <c r="L8">
        <v>1399</v>
      </c>
      <c r="M8" t="s">
        <v>471</v>
      </c>
    </row>
    <row r="9" spans="1:31" hidden="1" x14ac:dyDescent="0.2">
      <c r="A9" t="s">
        <v>68</v>
      </c>
      <c r="B9" t="s">
        <v>468</v>
      </c>
      <c r="C9" t="s">
        <v>478</v>
      </c>
      <c r="D9" t="s">
        <v>101</v>
      </c>
      <c r="E9" s="42">
        <v>45387</v>
      </c>
      <c r="F9" t="s">
        <v>467</v>
      </c>
      <c r="G9" t="s">
        <v>470</v>
      </c>
      <c r="H9">
        <v>1</v>
      </c>
      <c r="I9">
        <v>2389.8305</v>
      </c>
      <c r="K9">
        <v>2819.9999899999998</v>
      </c>
      <c r="L9">
        <v>2949</v>
      </c>
      <c r="M9" t="s">
        <v>471</v>
      </c>
    </row>
    <row r="10" spans="1:31" hidden="1" x14ac:dyDescent="0.2">
      <c r="A10" t="s">
        <v>68</v>
      </c>
      <c r="B10" t="s">
        <v>468</v>
      </c>
      <c r="C10" t="s">
        <v>481</v>
      </c>
      <c r="D10" t="s">
        <v>104</v>
      </c>
      <c r="E10" s="42">
        <v>45388</v>
      </c>
      <c r="F10" t="s">
        <v>467</v>
      </c>
      <c r="G10" t="s">
        <v>470</v>
      </c>
      <c r="H10">
        <v>13</v>
      </c>
      <c r="I10">
        <v>15412.7119</v>
      </c>
      <c r="K10">
        <v>1399.0000032307701</v>
      </c>
      <c r="L10">
        <v>1399</v>
      </c>
      <c r="M10" t="s">
        <v>471</v>
      </c>
    </row>
    <row r="11" spans="1:31" x14ac:dyDescent="0.2">
      <c r="A11" t="s">
        <v>68</v>
      </c>
      <c r="B11" t="s">
        <v>468</v>
      </c>
      <c r="C11" t="s">
        <v>469</v>
      </c>
      <c r="D11" t="s">
        <v>69</v>
      </c>
      <c r="E11" s="42">
        <v>45389</v>
      </c>
      <c r="F11" s="1"/>
      <c r="G11" s="1"/>
      <c r="H11" s="1"/>
      <c r="I11" s="1"/>
      <c r="J11">
        <v>18</v>
      </c>
      <c r="K11" s="1"/>
      <c r="L11">
        <v>1599</v>
      </c>
      <c r="M11" t="s">
        <v>124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idden="1" x14ac:dyDescent="0.2">
      <c r="A12" t="s">
        <v>68</v>
      </c>
      <c r="B12" t="s">
        <v>468</v>
      </c>
      <c r="C12" t="s">
        <v>474</v>
      </c>
      <c r="D12" t="s">
        <v>94</v>
      </c>
      <c r="E12" s="42">
        <v>45389</v>
      </c>
      <c r="J12">
        <v>36</v>
      </c>
      <c r="L12">
        <v>2099</v>
      </c>
      <c r="M12" t="s">
        <v>124</v>
      </c>
    </row>
    <row r="13" spans="1:31" hidden="1" x14ac:dyDescent="0.2">
      <c r="A13" t="s">
        <v>68</v>
      </c>
      <c r="B13" t="s">
        <v>468</v>
      </c>
      <c r="C13" t="s">
        <v>98</v>
      </c>
      <c r="D13" t="s">
        <v>98</v>
      </c>
      <c r="E13" s="42">
        <v>45389</v>
      </c>
      <c r="J13">
        <v>39</v>
      </c>
      <c r="L13">
        <v>2799</v>
      </c>
      <c r="M13" t="s">
        <v>124</v>
      </c>
    </row>
    <row r="14" spans="1:31" hidden="1" x14ac:dyDescent="0.2">
      <c r="A14" t="s">
        <v>68</v>
      </c>
      <c r="B14" t="s">
        <v>468</v>
      </c>
      <c r="C14" t="s">
        <v>478</v>
      </c>
      <c r="D14" t="s">
        <v>101</v>
      </c>
      <c r="E14" s="42">
        <v>45389</v>
      </c>
      <c r="J14">
        <v>13</v>
      </c>
      <c r="L14">
        <v>2949</v>
      </c>
      <c r="M14" t="s">
        <v>124</v>
      </c>
    </row>
    <row r="15" spans="1:31" hidden="1" x14ac:dyDescent="0.2">
      <c r="A15" t="s">
        <v>68</v>
      </c>
      <c r="B15" t="s">
        <v>468</v>
      </c>
      <c r="C15" t="s">
        <v>481</v>
      </c>
      <c r="D15" t="s">
        <v>104</v>
      </c>
      <c r="E15" s="42">
        <v>45389</v>
      </c>
      <c r="J15">
        <v>12</v>
      </c>
      <c r="L15">
        <v>1399</v>
      </c>
      <c r="M15" t="s">
        <v>124</v>
      </c>
    </row>
    <row r="16" spans="1:31" hidden="1" x14ac:dyDescent="0.2">
      <c r="A16" t="s">
        <v>68</v>
      </c>
      <c r="B16" t="s">
        <v>468</v>
      </c>
      <c r="C16" t="s">
        <v>481</v>
      </c>
      <c r="D16" t="s">
        <v>104</v>
      </c>
      <c r="E16" s="42">
        <v>45390</v>
      </c>
      <c r="F16" t="s">
        <v>467</v>
      </c>
      <c r="G16" t="s">
        <v>470</v>
      </c>
      <c r="H16">
        <v>1</v>
      </c>
      <c r="I16">
        <v>1185.5932</v>
      </c>
      <c r="K16">
        <v>1398.9999760000001</v>
      </c>
      <c r="L16">
        <v>1399</v>
      </c>
      <c r="M16" t="s">
        <v>471</v>
      </c>
    </row>
    <row r="17" spans="1:13" x14ac:dyDescent="0.2">
      <c r="A17" t="s">
        <v>68</v>
      </c>
      <c r="B17" t="s">
        <v>468</v>
      </c>
      <c r="C17" t="s">
        <v>469</v>
      </c>
      <c r="D17" t="s">
        <v>69</v>
      </c>
      <c r="E17" s="42">
        <v>45394</v>
      </c>
      <c r="F17" t="s">
        <v>467</v>
      </c>
      <c r="G17" t="s">
        <v>470</v>
      </c>
      <c r="H17">
        <v>8</v>
      </c>
      <c r="I17">
        <v>10169.4915</v>
      </c>
      <c r="K17">
        <v>1499.9999962500001</v>
      </c>
      <c r="L17">
        <v>1599</v>
      </c>
      <c r="M17" t="s">
        <v>471</v>
      </c>
    </row>
    <row r="18" spans="1:13" hidden="1" x14ac:dyDescent="0.2">
      <c r="A18" t="s">
        <v>68</v>
      </c>
      <c r="B18" t="s">
        <v>468</v>
      </c>
      <c r="C18" t="s">
        <v>98</v>
      </c>
      <c r="D18" t="s">
        <v>98</v>
      </c>
      <c r="E18" s="42">
        <v>45394</v>
      </c>
      <c r="F18" t="s">
        <v>467</v>
      </c>
      <c r="G18" t="s">
        <v>470</v>
      </c>
      <c r="H18">
        <v>1</v>
      </c>
      <c r="I18">
        <v>2262.7118999999998</v>
      </c>
      <c r="K18">
        <v>2670.0000420000001</v>
      </c>
      <c r="L18">
        <v>2799</v>
      </c>
      <c r="M18" t="s">
        <v>471</v>
      </c>
    </row>
    <row r="19" spans="1:13" hidden="1" x14ac:dyDescent="0.2">
      <c r="A19" t="s">
        <v>68</v>
      </c>
      <c r="B19" t="s">
        <v>468</v>
      </c>
      <c r="C19" t="s">
        <v>481</v>
      </c>
      <c r="D19" t="s">
        <v>104</v>
      </c>
      <c r="E19" s="42">
        <v>45394</v>
      </c>
      <c r="F19" t="s">
        <v>467</v>
      </c>
      <c r="G19" t="s">
        <v>470</v>
      </c>
      <c r="H19">
        <v>1</v>
      </c>
      <c r="I19">
        <v>1185.5932</v>
      </c>
      <c r="K19">
        <v>1398.9999760000001</v>
      </c>
      <c r="L19">
        <v>1399</v>
      </c>
      <c r="M19" t="s">
        <v>471</v>
      </c>
    </row>
    <row r="20" spans="1:13" hidden="1" x14ac:dyDescent="0.2">
      <c r="A20" t="s">
        <v>68</v>
      </c>
      <c r="B20" t="s">
        <v>468</v>
      </c>
      <c r="C20" t="s">
        <v>481</v>
      </c>
      <c r="D20" t="s">
        <v>104</v>
      </c>
      <c r="E20" s="42">
        <v>45394</v>
      </c>
      <c r="F20" t="s">
        <v>467</v>
      </c>
      <c r="G20" t="s">
        <v>470</v>
      </c>
      <c r="H20">
        <v>1</v>
      </c>
      <c r="I20">
        <v>1185.5932</v>
      </c>
      <c r="K20">
        <v>1398.9999760000001</v>
      </c>
      <c r="L20">
        <v>1399</v>
      </c>
      <c r="M20" t="s">
        <v>471</v>
      </c>
    </row>
    <row r="21" spans="1:13" x14ac:dyDescent="0.2">
      <c r="A21" t="s">
        <v>68</v>
      </c>
      <c r="B21" t="s">
        <v>468</v>
      </c>
      <c r="C21" t="s">
        <v>469</v>
      </c>
      <c r="D21" t="s">
        <v>69</v>
      </c>
      <c r="E21" s="42">
        <v>45396</v>
      </c>
      <c r="J21">
        <v>10</v>
      </c>
      <c r="L21">
        <v>1599</v>
      </c>
      <c r="M21" t="s">
        <v>124</v>
      </c>
    </row>
    <row r="22" spans="1:13" hidden="1" x14ac:dyDescent="0.2">
      <c r="A22" t="s">
        <v>68</v>
      </c>
      <c r="B22" t="s">
        <v>468</v>
      </c>
      <c r="C22" t="s">
        <v>473</v>
      </c>
      <c r="D22" t="s">
        <v>79</v>
      </c>
      <c r="E22" s="42">
        <v>45396</v>
      </c>
      <c r="J22">
        <v>24</v>
      </c>
      <c r="L22">
        <v>379</v>
      </c>
      <c r="M22" t="s">
        <v>124</v>
      </c>
    </row>
    <row r="23" spans="1:13" hidden="1" x14ac:dyDescent="0.2">
      <c r="A23" t="s">
        <v>68</v>
      </c>
      <c r="B23" t="s">
        <v>468</v>
      </c>
      <c r="C23" t="s">
        <v>474</v>
      </c>
      <c r="D23" t="s">
        <v>94</v>
      </c>
      <c r="E23" s="42">
        <v>45396</v>
      </c>
      <c r="J23">
        <v>36</v>
      </c>
      <c r="L23">
        <v>2099</v>
      </c>
      <c r="M23" t="s">
        <v>124</v>
      </c>
    </row>
    <row r="24" spans="1:13" hidden="1" x14ac:dyDescent="0.2">
      <c r="A24" t="s">
        <v>68</v>
      </c>
      <c r="B24" t="s">
        <v>468</v>
      </c>
      <c r="C24" t="s">
        <v>98</v>
      </c>
      <c r="D24" t="s">
        <v>98</v>
      </c>
      <c r="E24" s="42">
        <v>45396</v>
      </c>
      <c r="J24">
        <v>38</v>
      </c>
      <c r="L24">
        <v>2799</v>
      </c>
      <c r="M24" t="s">
        <v>124</v>
      </c>
    </row>
    <row r="25" spans="1:13" hidden="1" x14ac:dyDescent="0.2">
      <c r="A25" t="s">
        <v>68</v>
      </c>
      <c r="B25" t="s">
        <v>468</v>
      </c>
      <c r="C25" t="s">
        <v>478</v>
      </c>
      <c r="D25" t="s">
        <v>101</v>
      </c>
      <c r="E25" s="42">
        <v>45396</v>
      </c>
      <c r="J25">
        <v>13</v>
      </c>
      <c r="L25">
        <v>2949</v>
      </c>
      <c r="M25" t="s">
        <v>124</v>
      </c>
    </row>
    <row r="26" spans="1:13" hidden="1" x14ac:dyDescent="0.2">
      <c r="A26" t="s">
        <v>68</v>
      </c>
      <c r="B26" t="s">
        <v>468</v>
      </c>
      <c r="C26" t="s">
        <v>481</v>
      </c>
      <c r="D26" t="s">
        <v>104</v>
      </c>
      <c r="E26" s="42">
        <v>45396</v>
      </c>
      <c r="J26">
        <v>9</v>
      </c>
      <c r="L26">
        <v>1399</v>
      </c>
      <c r="M26" t="s">
        <v>124</v>
      </c>
    </row>
    <row r="27" spans="1:13" hidden="1" x14ac:dyDescent="0.2">
      <c r="A27" t="s">
        <v>68</v>
      </c>
      <c r="B27" t="s">
        <v>468</v>
      </c>
      <c r="C27" t="s">
        <v>98</v>
      </c>
      <c r="D27" t="s">
        <v>98</v>
      </c>
      <c r="E27" s="42">
        <v>45397</v>
      </c>
      <c r="F27" t="s">
        <v>475</v>
      </c>
      <c r="G27" t="s">
        <v>476</v>
      </c>
      <c r="H27">
        <v>1</v>
      </c>
      <c r="I27">
        <v>2288.1356000000001</v>
      </c>
      <c r="K27">
        <v>2700.000008</v>
      </c>
      <c r="L27">
        <v>2799</v>
      </c>
      <c r="M27" t="s">
        <v>477</v>
      </c>
    </row>
    <row r="28" spans="1:13" hidden="1" x14ac:dyDescent="0.2">
      <c r="A28" t="s">
        <v>68</v>
      </c>
      <c r="B28" t="s">
        <v>468</v>
      </c>
      <c r="C28" t="s">
        <v>98</v>
      </c>
      <c r="D28" t="s">
        <v>98</v>
      </c>
      <c r="E28" s="42">
        <v>45397</v>
      </c>
      <c r="F28" t="s">
        <v>475</v>
      </c>
      <c r="G28" t="s">
        <v>476</v>
      </c>
      <c r="H28">
        <v>1</v>
      </c>
      <c r="I28">
        <v>2288.1356000000001</v>
      </c>
      <c r="K28">
        <v>2700.000008</v>
      </c>
      <c r="L28">
        <v>2799</v>
      </c>
      <c r="M28" t="s">
        <v>477</v>
      </c>
    </row>
    <row r="29" spans="1:13" hidden="1" x14ac:dyDescent="0.2">
      <c r="A29" t="s">
        <v>68</v>
      </c>
      <c r="B29" t="s">
        <v>468</v>
      </c>
      <c r="C29" t="s">
        <v>481</v>
      </c>
      <c r="D29" t="s">
        <v>104</v>
      </c>
      <c r="E29" s="42">
        <v>45399</v>
      </c>
      <c r="F29" t="s">
        <v>467</v>
      </c>
      <c r="G29" t="s">
        <v>470</v>
      </c>
      <c r="H29">
        <v>1</v>
      </c>
      <c r="I29">
        <v>1185.5932</v>
      </c>
      <c r="K29">
        <v>1398.9999760000001</v>
      </c>
      <c r="L29">
        <v>1399</v>
      </c>
      <c r="M29" t="s">
        <v>471</v>
      </c>
    </row>
    <row r="30" spans="1:13" hidden="1" x14ac:dyDescent="0.2">
      <c r="A30" t="s">
        <v>68</v>
      </c>
      <c r="B30" t="s">
        <v>468</v>
      </c>
      <c r="C30" t="s">
        <v>481</v>
      </c>
      <c r="D30" t="s">
        <v>104</v>
      </c>
      <c r="E30" s="42">
        <v>45399</v>
      </c>
      <c r="F30" t="s">
        <v>467</v>
      </c>
      <c r="G30" t="s">
        <v>470</v>
      </c>
      <c r="H30">
        <v>2</v>
      </c>
      <c r="I30">
        <v>2371.1864</v>
      </c>
      <c r="K30">
        <v>1398.9999760000001</v>
      </c>
      <c r="L30">
        <v>1399</v>
      </c>
      <c r="M30" t="s">
        <v>471</v>
      </c>
    </row>
    <row r="31" spans="1:13" hidden="1" x14ac:dyDescent="0.2">
      <c r="A31" t="s">
        <v>68</v>
      </c>
      <c r="B31" t="s">
        <v>468</v>
      </c>
      <c r="C31" t="s">
        <v>474</v>
      </c>
      <c r="D31" t="s">
        <v>94</v>
      </c>
      <c r="E31" s="42">
        <v>45400</v>
      </c>
      <c r="F31" t="s">
        <v>467</v>
      </c>
      <c r="G31" t="s">
        <v>470</v>
      </c>
      <c r="H31">
        <v>1</v>
      </c>
      <c r="I31">
        <v>1694.9152999999999</v>
      </c>
      <c r="K31">
        <v>2000.0000540000001</v>
      </c>
      <c r="L31">
        <v>2099</v>
      </c>
      <c r="M31" t="s">
        <v>471</v>
      </c>
    </row>
    <row r="32" spans="1:13" hidden="1" x14ac:dyDescent="0.2">
      <c r="A32" t="s">
        <v>68</v>
      </c>
      <c r="B32" t="s">
        <v>468</v>
      </c>
      <c r="C32" t="s">
        <v>474</v>
      </c>
      <c r="D32" t="s">
        <v>94</v>
      </c>
      <c r="E32" s="42">
        <v>45401</v>
      </c>
      <c r="F32" t="s">
        <v>467</v>
      </c>
      <c r="G32" t="s">
        <v>470</v>
      </c>
      <c r="H32">
        <v>1</v>
      </c>
      <c r="I32">
        <v>1694.9152999999999</v>
      </c>
      <c r="K32">
        <v>2000.0000540000001</v>
      </c>
      <c r="L32">
        <v>2099</v>
      </c>
      <c r="M32" t="s">
        <v>471</v>
      </c>
    </row>
    <row r="33" spans="1:13" hidden="1" x14ac:dyDescent="0.2">
      <c r="A33" t="s">
        <v>68</v>
      </c>
      <c r="B33" t="s">
        <v>468</v>
      </c>
      <c r="C33" t="s">
        <v>98</v>
      </c>
      <c r="D33" t="s">
        <v>98</v>
      </c>
      <c r="E33" s="42">
        <v>45402</v>
      </c>
      <c r="F33" t="s">
        <v>475</v>
      </c>
      <c r="G33" t="s">
        <v>476</v>
      </c>
      <c r="H33">
        <v>1</v>
      </c>
      <c r="I33">
        <v>2288.1356000000001</v>
      </c>
      <c r="K33">
        <v>2700.000008</v>
      </c>
      <c r="L33">
        <v>2799</v>
      </c>
      <c r="M33" t="s">
        <v>477</v>
      </c>
    </row>
    <row r="34" spans="1:13" x14ac:dyDescent="0.2">
      <c r="A34" t="s">
        <v>68</v>
      </c>
      <c r="B34" t="s">
        <v>468</v>
      </c>
      <c r="C34" t="s">
        <v>469</v>
      </c>
      <c r="D34" t="s">
        <v>69</v>
      </c>
      <c r="E34" s="42">
        <v>45403</v>
      </c>
      <c r="J34">
        <v>10</v>
      </c>
      <c r="L34">
        <v>1599</v>
      </c>
      <c r="M34" t="s">
        <v>124</v>
      </c>
    </row>
    <row r="35" spans="1:13" hidden="1" x14ac:dyDescent="0.2">
      <c r="A35" t="s">
        <v>68</v>
      </c>
      <c r="B35" t="s">
        <v>468</v>
      </c>
      <c r="C35" t="s">
        <v>472</v>
      </c>
      <c r="D35" t="s">
        <v>85</v>
      </c>
      <c r="E35" s="42">
        <v>45403</v>
      </c>
      <c r="J35">
        <v>49</v>
      </c>
      <c r="L35">
        <v>539</v>
      </c>
      <c r="M35" t="s">
        <v>124</v>
      </c>
    </row>
    <row r="36" spans="1:13" hidden="1" x14ac:dyDescent="0.2">
      <c r="A36" t="s">
        <v>68</v>
      </c>
      <c r="B36" t="s">
        <v>468</v>
      </c>
      <c r="C36" t="s">
        <v>473</v>
      </c>
      <c r="D36" t="s">
        <v>79</v>
      </c>
      <c r="E36" s="42">
        <v>45403</v>
      </c>
      <c r="J36">
        <v>24</v>
      </c>
      <c r="L36">
        <v>379</v>
      </c>
      <c r="M36" t="s">
        <v>124</v>
      </c>
    </row>
    <row r="37" spans="1:13" hidden="1" x14ac:dyDescent="0.2">
      <c r="A37" t="s">
        <v>68</v>
      </c>
      <c r="B37" t="s">
        <v>468</v>
      </c>
      <c r="C37" t="s">
        <v>474</v>
      </c>
      <c r="D37" t="s">
        <v>94</v>
      </c>
      <c r="E37" s="42">
        <v>45403</v>
      </c>
      <c r="J37">
        <v>34</v>
      </c>
      <c r="L37">
        <v>2099</v>
      </c>
      <c r="M37" t="s">
        <v>124</v>
      </c>
    </row>
    <row r="38" spans="1:13" hidden="1" x14ac:dyDescent="0.2">
      <c r="A38" t="s">
        <v>68</v>
      </c>
      <c r="B38" t="s">
        <v>468</v>
      </c>
      <c r="C38" t="s">
        <v>98</v>
      </c>
      <c r="D38" t="s">
        <v>98</v>
      </c>
      <c r="E38" s="42">
        <v>45403</v>
      </c>
      <c r="J38">
        <v>35</v>
      </c>
      <c r="L38">
        <v>2799</v>
      </c>
      <c r="M38" t="s">
        <v>124</v>
      </c>
    </row>
    <row r="39" spans="1:13" hidden="1" x14ac:dyDescent="0.2">
      <c r="A39" t="s">
        <v>68</v>
      </c>
      <c r="B39" t="s">
        <v>468</v>
      </c>
      <c r="C39" t="s">
        <v>478</v>
      </c>
      <c r="D39" t="s">
        <v>101</v>
      </c>
      <c r="E39" s="42">
        <v>45403</v>
      </c>
      <c r="J39">
        <v>13</v>
      </c>
      <c r="L39">
        <v>2949</v>
      </c>
      <c r="M39" t="s">
        <v>124</v>
      </c>
    </row>
    <row r="40" spans="1:13" hidden="1" x14ac:dyDescent="0.2">
      <c r="A40" t="s">
        <v>68</v>
      </c>
      <c r="B40" t="s">
        <v>468</v>
      </c>
      <c r="C40" t="s">
        <v>479</v>
      </c>
      <c r="D40" t="s">
        <v>108</v>
      </c>
      <c r="E40" s="42">
        <v>45403</v>
      </c>
      <c r="J40">
        <v>101</v>
      </c>
      <c r="L40">
        <v>1199</v>
      </c>
      <c r="M40" t="s">
        <v>124</v>
      </c>
    </row>
    <row r="41" spans="1:13" hidden="1" x14ac:dyDescent="0.2">
      <c r="A41" t="s">
        <v>68</v>
      </c>
      <c r="B41" t="s">
        <v>468</v>
      </c>
      <c r="C41" t="s">
        <v>480</v>
      </c>
      <c r="D41" t="s">
        <v>112</v>
      </c>
      <c r="E41" s="42">
        <v>45403</v>
      </c>
      <c r="J41">
        <v>400</v>
      </c>
      <c r="L41">
        <v>1449</v>
      </c>
      <c r="M41" t="s">
        <v>124</v>
      </c>
    </row>
    <row r="42" spans="1:13" hidden="1" x14ac:dyDescent="0.2">
      <c r="A42" t="s">
        <v>68</v>
      </c>
      <c r="B42" t="s">
        <v>468</v>
      </c>
      <c r="C42" t="s">
        <v>481</v>
      </c>
      <c r="D42" t="s">
        <v>104</v>
      </c>
      <c r="E42" s="42">
        <v>45403</v>
      </c>
      <c r="J42">
        <v>6</v>
      </c>
      <c r="L42">
        <v>1399</v>
      </c>
      <c r="M42" t="s">
        <v>124</v>
      </c>
    </row>
    <row r="43" spans="1:13" hidden="1" x14ac:dyDescent="0.2">
      <c r="A43" t="s">
        <v>68</v>
      </c>
      <c r="B43" t="s">
        <v>468</v>
      </c>
      <c r="C43" t="s">
        <v>481</v>
      </c>
      <c r="D43" t="s">
        <v>104</v>
      </c>
      <c r="E43" s="42">
        <v>45404</v>
      </c>
      <c r="F43" t="s">
        <v>467</v>
      </c>
      <c r="G43" t="s">
        <v>470</v>
      </c>
      <c r="H43">
        <v>1</v>
      </c>
      <c r="I43">
        <v>1186.4407000000001</v>
      </c>
      <c r="K43">
        <v>1400.0000259999999</v>
      </c>
      <c r="L43">
        <v>1399</v>
      </c>
      <c r="M43" t="s">
        <v>471</v>
      </c>
    </row>
    <row r="44" spans="1:13" hidden="1" x14ac:dyDescent="0.2">
      <c r="A44" t="s">
        <v>68</v>
      </c>
      <c r="B44" t="s">
        <v>468</v>
      </c>
      <c r="C44" t="s">
        <v>481</v>
      </c>
      <c r="D44" t="s">
        <v>104</v>
      </c>
      <c r="E44" s="42">
        <v>45404</v>
      </c>
      <c r="F44" t="s">
        <v>467</v>
      </c>
      <c r="G44" t="s">
        <v>470</v>
      </c>
      <c r="H44">
        <v>1</v>
      </c>
      <c r="I44">
        <v>1186.4407000000001</v>
      </c>
      <c r="K44">
        <v>1400.0000259999999</v>
      </c>
      <c r="L44">
        <v>1399</v>
      </c>
      <c r="M44" t="s">
        <v>471</v>
      </c>
    </row>
    <row r="45" spans="1:13" hidden="1" x14ac:dyDescent="0.2">
      <c r="A45" t="s">
        <v>68</v>
      </c>
      <c r="B45" t="s">
        <v>468</v>
      </c>
      <c r="C45" t="s">
        <v>481</v>
      </c>
      <c r="D45" t="s">
        <v>104</v>
      </c>
      <c r="E45" s="42">
        <v>45404</v>
      </c>
      <c r="F45" t="s">
        <v>475</v>
      </c>
      <c r="G45" t="s">
        <v>476</v>
      </c>
      <c r="H45">
        <v>2</v>
      </c>
      <c r="I45">
        <v>2372.8814000000002</v>
      </c>
      <c r="K45">
        <v>1400.0000259999999</v>
      </c>
      <c r="L45">
        <v>1399</v>
      </c>
      <c r="M45" t="s">
        <v>477</v>
      </c>
    </row>
    <row r="46" spans="1:13" hidden="1" x14ac:dyDescent="0.2">
      <c r="A46" t="s">
        <v>68</v>
      </c>
      <c r="B46" t="s">
        <v>468</v>
      </c>
      <c r="C46" t="s">
        <v>478</v>
      </c>
      <c r="D46" t="s">
        <v>101</v>
      </c>
      <c r="E46" s="42">
        <v>45405</v>
      </c>
      <c r="F46" t="s">
        <v>467</v>
      </c>
      <c r="G46" t="s">
        <v>470</v>
      </c>
      <c r="H46">
        <v>1</v>
      </c>
      <c r="I46">
        <v>2406.7797</v>
      </c>
      <c r="K46">
        <v>2840.0000460000001</v>
      </c>
      <c r="L46">
        <v>2949</v>
      </c>
      <c r="M46" t="s">
        <v>471</v>
      </c>
    </row>
    <row r="47" spans="1:13" hidden="1" x14ac:dyDescent="0.2">
      <c r="A47" t="s">
        <v>68</v>
      </c>
      <c r="B47" t="s">
        <v>468</v>
      </c>
      <c r="C47" t="s">
        <v>480</v>
      </c>
      <c r="D47" t="s">
        <v>112</v>
      </c>
      <c r="E47" s="42">
        <v>45405</v>
      </c>
      <c r="F47" t="s">
        <v>467</v>
      </c>
      <c r="G47" t="s">
        <v>470</v>
      </c>
      <c r="H47">
        <v>1</v>
      </c>
      <c r="I47">
        <v>1220.3389999999999</v>
      </c>
      <c r="K47">
        <v>1440.0000199999999</v>
      </c>
      <c r="L47">
        <v>1449</v>
      </c>
      <c r="M47" t="s">
        <v>471</v>
      </c>
    </row>
    <row r="48" spans="1:13" hidden="1" x14ac:dyDescent="0.2">
      <c r="A48" t="s">
        <v>68</v>
      </c>
      <c r="B48" t="s">
        <v>468</v>
      </c>
      <c r="C48" t="s">
        <v>481</v>
      </c>
      <c r="D48" t="s">
        <v>104</v>
      </c>
      <c r="E48" s="42">
        <v>45405</v>
      </c>
      <c r="F48" t="s">
        <v>467</v>
      </c>
      <c r="G48" t="s">
        <v>470</v>
      </c>
      <c r="H48">
        <v>1</v>
      </c>
      <c r="I48">
        <v>1186.4407000000001</v>
      </c>
      <c r="K48">
        <v>1400.0000259999999</v>
      </c>
      <c r="L48">
        <v>1399</v>
      </c>
      <c r="M48" t="s">
        <v>471</v>
      </c>
    </row>
    <row r="49" spans="1:13" hidden="1" x14ac:dyDescent="0.2">
      <c r="A49" t="s">
        <v>68</v>
      </c>
      <c r="B49" t="s">
        <v>468</v>
      </c>
      <c r="C49" t="s">
        <v>479</v>
      </c>
      <c r="D49" t="s">
        <v>108</v>
      </c>
      <c r="E49" s="42">
        <v>45406</v>
      </c>
      <c r="F49" t="s">
        <v>467</v>
      </c>
      <c r="G49" t="s">
        <v>470</v>
      </c>
      <c r="H49">
        <v>46</v>
      </c>
      <c r="I49">
        <v>44441.457600000002</v>
      </c>
      <c r="K49">
        <v>1140.01999930435</v>
      </c>
      <c r="L49">
        <v>1199</v>
      </c>
      <c r="M49" t="s">
        <v>471</v>
      </c>
    </row>
    <row r="50" spans="1:13" hidden="1" x14ac:dyDescent="0.2">
      <c r="A50" t="s">
        <v>68</v>
      </c>
      <c r="B50" t="s">
        <v>468</v>
      </c>
      <c r="C50" t="s">
        <v>480</v>
      </c>
      <c r="D50" t="s">
        <v>112</v>
      </c>
      <c r="E50" s="42">
        <v>45406</v>
      </c>
      <c r="F50" t="s">
        <v>467</v>
      </c>
      <c r="G50" t="s">
        <v>470</v>
      </c>
      <c r="H50">
        <v>2</v>
      </c>
      <c r="I50">
        <v>2423.7287999999999</v>
      </c>
      <c r="K50">
        <v>1429.999992</v>
      </c>
      <c r="L50">
        <v>1449</v>
      </c>
      <c r="M50" t="s">
        <v>471</v>
      </c>
    </row>
    <row r="51" spans="1:13" hidden="1" x14ac:dyDescent="0.2">
      <c r="A51" t="s">
        <v>68</v>
      </c>
      <c r="B51" t="s">
        <v>468</v>
      </c>
      <c r="C51" t="s">
        <v>474</v>
      </c>
      <c r="D51" t="s">
        <v>94</v>
      </c>
      <c r="E51" s="42">
        <v>45407</v>
      </c>
      <c r="F51" t="s">
        <v>467</v>
      </c>
      <c r="G51" t="s">
        <v>470</v>
      </c>
      <c r="H51">
        <v>1</v>
      </c>
      <c r="I51">
        <v>1686.4407000000001</v>
      </c>
      <c r="K51">
        <v>1990.0000259999999</v>
      </c>
      <c r="L51">
        <v>2099</v>
      </c>
      <c r="M51" t="s">
        <v>471</v>
      </c>
    </row>
    <row r="52" spans="1:13" x14ac:dyDescent="0.2">
      <c r="A52" t="s">
        <v>68</v>
      </c>
      <c r="B52" t="s">
        <v>468</v>
      </c>
      <c r="C52" t="s">
        <v>469</v>
      </c>
      <c r="D52" t="s">
        <v>69</v>
      </c>
      <c r="E52" s="42">
        <v>45409</v>
      </c>
      <c r="F52" t="s">
        <v>467</v>
      </c>
      <c r="G52" t="s">
        <v>470</v>
      </c>
      <c r="H52">
        <v>10</v>
      </c>
      <c r="I52">
        <v>12881.3559</v>
      </c>
      <c r="K52">
        <v>1519.9999961999999</v>
      </c>
      <c r="L52">
        <v>1599</v>
      </c>
      <c r="M52" t="s">
        <v>471</v>
      </c>
    </row>
    <row r="53" spans="1:13" hidden="1" x14ac:dyDescent="0.2">
      <c r="A53" t="s">
        <v>68</v>
      </c>
      <c r="B53" t="s">
        <v>468</v>
      </c>
      <c r="C53" t="s">
        <v>474</v>
      </c>
      <c r="D53" t="s">
        <v>94</v>
      </c>
      <c r="E53" s="42">
        <v>45409</v>
      </c>
      <c r="F53" t="s">
        <v>467</v>
      </c>
      <c r="G53" t="s">
        <v>470</v>
      </c>
      <c r="H53">
        <v>2</v>
      </c>
      <c r="I53">
        <v>3389.8643999999999</v>
      </c>
      <c r="K53">
        <v>2000.019996</v>
      </c>
      <c r="L53">
        <v>2099</v>
      </c>
      <c r="M53" t="s">
        <v>471</v>
      </c>
    </row>
    <row r="54" spans="1:13" hidden="1" x14ac:dyDescent="0.2">
      <c r="A54" t="s">
        <v>68</v>
      </c>
      <c r="B54" t="s">
        <v>468</v>
      </c>
      <c r="C54" t="s">
        <v>480</v>
      </c>
      <c r="D54" t="s">
        <v>112</v>
      </c>
      <c r="E54" s="42">
        <v>45409</v>
      </c>
      <c r="F54" t="s">
        <v>467</v>
      </c>
      <c r="G54" t="s">
        <v>470</v>
      </c>
      <c r="H54">
        <v>1</v>
      </c>
      <c r="I54">
        <v>1211.8643999999999</v>
      </c>
      <c r="K54">
        <v>1429.999992</v>
      </c>
      <c r="L54">
        <v>1449</v>
      </c>
      <c r="M54" t="s">
        <v>471</v>
      </c>
    </row>
    <row r="55" spans="1:13" hidden="1" x14ac:dyDescent="0.2">
      <c r="A55" t="s">
        <v>68</v>
      </c>
      <c r="B55" t="s">
        <v>468</v>
      </c>
      <c r="C55" t="s">
        <v>480</v>
      </c>
      <c r="D55" t="s">
        <v>112</v>
      </c>
      <c r="E55" s="42">
        <v>45409</v>
      </c>
      <c r="F55" t="s">
        <v>467</v>
      </c>
      <c r="G55" t="s">
        <v>470</v>
      </c>
      <c r="H55">
        <v>1</v>
      </c>
      <c r="I55">
        <v>1220.3389999999999</v>
      </c>
      <c r="K55">
        <v>1440.0000199999999</v>
      </c>
      <c r="L55">
        <v>1449</v>
      </c>
      <c r="M55" t="s">
        <v>471</v>
      </c>
    </row>
    <row r="56" spans="1:13" hidden="1" x14ac:dyDescent="0.2">
      <c r="A56" t="s">
        <v>68</v>
      </c>
      <c r="B56" t="s">
        <v>468</v>
      </c>
      <c r="C56" t="s">
        <v>472</v>
      </c>
      <c r="D56" t="s">
        <v>85</v>
      </c>
      <c r="E56" s="42">
        <v>45410</v>
      </c>
      <c r="J56">
        <v>49</v>
      </c>
      <c r="L56">
        <v>539</v>
      </c>
      <c r="M56" t="s">
        <v>124</v>
      </c>
    </row>
    <row r="57" spans="1:13" hidden="1" x14ac:dyDescent="0.2">
      <c r="A57" t="s">
        <v>68</v>
      </c>
      <c r="B57" t="s">
        <v>468</v>
      </c>
      <c r="C57" t="s">
        <v>473</v>
      </c>
      <c r="D57" t="s">
        <v>79</v>
      </c>
      <c r="E57" s="42">
        <v>45410</v>
      </c>
      <c r="J57">
        <v>24</v>
      </c>
      <c r="L57">
        <v>379</v>
      </c>
      <c r="M57" t="s">
        <v>124</v>
      </c>
    </row>
    <row r="58" spans="1:13" hidden="1" x14ac:dyDescent="0.2">
      <c r="A58" t="s">
        <v>68</v>
      </c>
      <c r="B58" t="s">
        <v>468</v>
      </c>
      <c r="C58" t="s">
        <v>474</v>
      </c>
      <c r="D58" t="s">
        <v>94</v>
      </c>
      <c r="E58" s="42">
        <v>45410</v>
      </c>
      <c r="J58">
        <v>31</v>
      </c>
      <c r="L58">
        <v>2099</v>
      </c>
      <c r="M58" t="s">
        <v>124</v>
      </c>
    </row>
    <row r="59" spans="1:13" hidden="1" x14ac:dyDescent="0.2">
      <c r="A59" t="s">
        <v>68</v>
      </c>
      <c r="B59" t="s">
        <v>468</v>
      </c>
      <c r="C59" t="s">
        <v>98</v>
      </c>
      <c r="D59" t="s">
        <v>98</v>
      </c>
      <c r="E59" s="42">
        <v>45410</v>
      </c>
      <c r="J59">
        <v>35</v>
      </c>
      <c r="L59">
        <v>2799</v>
      </c>
      <c r="M59" t="s">
        <v>124</v>
      </c>
    </row>
    <row r="60" spans="1:13" hidden="1" x14ac:dyDescent="0.2">
      <c r="A60" t="s">
        <v>68</v>
      </c>
      <c r="B60" t="s">
        <v>468</v>
      </c>
      <c r="C60" t="s">
        <v>478</v>
      </c>
      <c r="D60" t="s">
        <v>101</v>
      </c>
      <c r="E60" s="42">
        <v>45410</v>
      </c>
      <c r="J60">
        <v>12</v>
      </c>
      <c r="L60">
        <v>2949</v>
      </c>
      <c r="M60" t="s">
        <v>124</v>
      </c>
    </row>
    <row r="61" spans="1:13" hidden="1" x14ac:dyDescent="0.2">
      <c r="A61" t="s">
        <v>68</v>
      </c>
      <c r="B61" t="s">
        <v>468</v>
      </c>
      <c r="C61" t="s">
        <v>479</v>
      </c>
      <c r="D61" t="s">
        <v>108</v>
      </c>
      <c r="E61" s="42">
        <v>45410</v>
      </c>
      <c r="J61">
        <v>55</v>
      </c>
      <c r="L61">
        <v>1199</v>
      </c>
      <c r="M61" t="s">
        <v>124</v>
      </c>
    </row>
    <row r="62" spans="1:13" hidden="1" x14ac:dyDescent="0.2">
      <c r="A62" t="s">
        <v>68</v>
      </c>
      <c r="B62" t="s">
        <v>468</v>
      </c>
      <c r="C62" t="s">
        <v>480</v>
      </c>
      <c r="D62" t="s">
        <v>112</v>
      </c>
      <c r="E62" s="42">
        <v>45410</v>
      </c>
      <c r="J62">
        <v>395</v>
      </c>
      <c r="L62">
        <v>1449</v>
      </c>
      <c r="M62" t="s">
        <v>124</v>
      </c>
    </row>
    <row r="63" spans="1:13" hidden="1" x14ac:dyDescent="0.2">
      <c r="A63" t="s">
        <v>68</v>
      </c>
      <c r="B63" t="s">
        <v>468</v>
      </c>
      <c r="C63" t="s">
        <v>481</v>
      </c>
      <c r="D63" t="s">
        <v>104</v>
      </c>
      <c r="E63" s="42">
        <v>45410</v>
      </c>
      <c r="J63">
        <v>1</v>
      </c>
      <c r="L63">
        <v>1399</v>
      </c>
      <c r="M63" t="s">
        <v>124</v>
      </c>
    </row>
  </sheetData>
  <autoFilter ref="A1:AE63">
    <filterColumn colId="3">
      <filters>
        <filter val="RSG314M.FSTGLPR"/>
      </filters>
    </filterColumn>
    <sortState ref="A2:AE63">
      <sortCondition ref="E1:E63"/>
    </sortState>
  </autoFilter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8"/>
  <sheetViews>
    <sheetView workbookViewId="0"/>
  </sheetViews>
  <sheetFormatPr defaultRowHeight="12.75" x14ac:dyDescent="0.2"/>
  <cols>
    <col min="1" max="1" width="5.85546875" customWidth="1"/>
    <col min="2" max="2" width="7.5703125" customWidth="1"/>
    <col min="3" max="3" width="13.5703125" customWidth="1"/>
    <col min="4" max="4" width="14.140625" customWidth="1"/>
    <col min="6" max="6" width="15.7109375" customWidth="1"/>
    <col min="7" max="7" width="11.42578125" customWidth="1"/>
    <col min="8" max="8" width="12.140625" customWidth="1"/>
    <col min="9" max="9" width="7" customWidth="1"/>
    <col min="10" max="10" width="8.85546875" customWidth="1"/>
    <col min="11" max="11" width="13.140625" customWidth="1"/>
    <col min="12" max="12" width="7.85546875" customWidth="1"/>
    <col min="13" max="13" width="12" customWidth="1"/>
    <col min="14" max="14" width="5.85546875" customWidth="1"/>
    <col min="15" max="15" width="9.7109375" customWidth="1"/>
    <col min="16" max="16" width="5.85546875" customWidth="1"/>
    <col min="17" max="17" width="8" customWidth="1"/>
    <col min="18" max="18" width="6.28515625" customWidth="1"/>
    <col min="19" max="19" width="9.7109375" customWidth="1"/>
    <col min="20" max="20" width="6.5703125" customWidth="1"/>
    <col min="21" max="21" width="7.85546875" customWidth="1"/>
    <col min="22" max="22" width="6" customWidth="1"/>
    <col min="23" max="23" width="9.7109375" customWidth="1"/>
    <col min="24" max="24" width="6.28515625" customWidth="1"/>
    <col min="25" max="25" width="7.5703125" customWidth="1"/>
    <col min="26" max="26" width="6.42578125" customWidth="1"/>
    <col min="27" max="27" width="9.7109375" customWidth="1"/>
    <col min="28" max="28" width="6.140625" customWidth="1"/>
    <col min="29" max="29" width="7.42578125" customWidth="1"/>
    <col min="30" max="30" width="6.28515625" customWidth="1"/>
    <col min="31" max="31" width="9.7109375" customWidth="1"/>
    <col min="32" max="32" width="6.28515625" customWidth="1"/>
    <col min="33" max="35" width="7.5703125" customWidth="1"/>
    <col min="36" max="36" width="6.28515625" customWidth="1"/>
    <col min="37" max="39" width="7.5703125" customWidth="1"/>
    <col min="40" max="40" width="6.140625" customWidth="1"/>
    <col min="41" max="43" width="7.5703125" customWidth="1"/>
    <col min="44" max="44" width="5.85546875" customWidth="1"/>
    <col min="45" max="47" width="7.5703125" customWidth="1"/>
    <col min="48" max="48" width="6.5703125" customWidth="1"/>
    <col min="49" max="50" width="7.5703125" customWidth="1"/>
    <col min="51" max="51" width="8.28515625" customWidth="1"/>
    <col min="52" max="53" width="7.5703125" customWidth="1"/>
    <col min="54" max="56" width="10.5703125" customWidth="1"/>
    <col min="57" max="57" width="4.7109375" customWidth="1"/>
  </cols>
  <sheetData>
    <row r="1" spans="1:56" s="1" customFormat="1" ht="36" customHeight="1" x14ac:dyDescent="0.2">
      <c r="A1" s="3" t="s">
        <v>0</v>
      </c>
      <c r="B1" s="3" t="s">
        <v>2</v>
      </c>
      <c r="C1" s="3" t="s">
        <v>146</v>
      </c>
      <c r="D1" s="3" t="s">
        <v>147</v>
      </c>
      <c r="E1" s="2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60</v>
      </c>
      <c r="M1" s="3" t="s">
        <v>155</v>
      </c>
      <c r="N1" s="5" t="s">
        <v>156</v>
      </c>
      <c r="O1" s="5" t="s">
        <v>157</v>
      </c>
      <c r="P1" s="5" t="s">
        <v>158</v>
      </c>
      <c r="Q1" s="5" t="s">
        <v>159</v>
      </c>
      <c r="R1" s="29" t="s">
        <v>160</v>
      </c>
      <c r="S1" s="29" t="s">
        <v>161</v>
      </c>
      <c r="T1" s="29" t="s">
        <v>162</v>
      </c>
      <c r="U1" s="29" t="s">
        <v>163</v>
      </c>
      <c r="V1" s="5" t="s">
        <v>164</v>
      </c>
      <c r="W1" s="5" t="s">
        <v>165</v>
      </c>
      <c r="X1" s="5" t="s">
        <v>166</v>
      </c>
      <c r="Y1" s="5" t="s">
        <v>167</v>
      </c>
      <c r="Z1" s="29" t="s">
        <v>168</v>
      </c>
      <c r="AA1" s="29" t="s">
        <v>169</v>
      </c>
      <c r="AB1" s="29" t="s">
        <v>170</v>
      </c>
      <c r="AC1" s="29" t="s">
        <v>171</v>
      </c>
      <c r="AD1" s="5" t="s">
        <v>172</v>
      </c>
      <c r="AE1" s="5" t="s">
        <v>173</v>
      </c>
      <c r="AF1" s="5" t="s">
        <v>174</v>
      </c>
      <c r="AG1" s="5" t="s">
        <v>175</v>
      </c>
      <c r="AH1" s="29" t="s">
        <v>176</v>
      </c>
      <c r="AI1" s="29" t="s">
        <v>177</v>
      </c>
      <c r="AJ1" s="29" t="s">
        <v>178</v>
      </c>
      <c r="AK1" s="29" t="s">
        <v>179</v>
      </c>
      <c r="AL1" s="5" t="s">
        <v>180</v>
      </c>
      <c r="AM1" s="5" t="s">
        <v>181</v>
      </c>
      <c r="AN1" s="5" t="s">
        <v>182</v>
      </c>
      <c r="AO1" s="5" t="s">
        <v>183</v>
      </c>
      <c r="AP1" s="29" t="s">
        <v>184</v>
      </c>
      <c r="AQ1" s="29" t="s">
        <v>185</v>
      </c>
      <c r="AR1" s="29" t="s">
        <v>186</v>
      </c>
      <c r="AS1" s="29" t="s">
        <v>187</v>
      </c>
      <c r="AT1" s="5" t="s">
        <v>188</v>
      </c>
      <c r="AU1" s="5" t="s">
        <v>189</v>
      </c>
      <c r="AV1" s="5" t="s">
        <v>190</v>
      </c>
      <c r="AW1" s="5" t="s">
        <v>191</v>
      </c>
      <c r="AX1" s="29" t="s">
        <v>192</v>
      </c>
      <c r="AY1" s="29" t="s">
        <v>193</v>
      </c>
      <c r="AZ1" s="29" t="s">
        <v>194</v>
      </c>
      <c r="BA1" s="29" t="s">
        <v>195</v>
      </c>
      <c r="BB1" s="30" t="s">
        <v>196</v>
      </c>
      <c r="BC1" s="30" t="s">
        <v>197</v>
      </c>
      <c r="BD1" s="30" t="s">
        <v>198</v>
      </c>
    </row>
    <row r="2" spans="1:56" s="1" customFormat="1" ht="18" customHeight="1" x14ac:dyDescent="0.2">
      <c r="A2" s="12">
        <v>1</v>
      </c>
      <c r="B2" s="10" t="s">
        <v>199</v>
      </c>
      <c r="C2" s="10" t="s">
        <v>68</v>
      </c>
      <c r="D2" s="10" t="s">
        <v>200</v>
      </c>
      <c r="E2" s="10" t="s">
        <v>201</v>
      </c>
      <c r="F2" s="10" t="s">
        <v>202</v>
      </c>
      <c r="G2" s="10" t="s">
        <v>203</v>
      </c>
      <c r="H2" s="10" t="s">
        <v>74</v>
      </c>
      <c r="I2" s="12">
        <v>200</v>
      </c>
      <c r="J2" s="16">
        <v>42</v>
      </c>
      <c r="K2" s="16">
        <v>8400</v>
      </c>
      <c r="L2" s="31">
        <v>3.7010000000000001</v>
      </c>
      <c r="M2" s="16">
        <v>42</v>
      </c>
      <c r="N2" s="10" t="s">
        <v>204</v>
      </c>
      <c r="O2" s="16">
        <v>0</v>
      </c>
      <c r="P2" s="12">
        <v>0</v>
      </c>
      <c r="Q2" s="12">
        <v>0</v>
      </c>
      <c r="R2" s="10" t="s">
        <v>204</v>
      </c>
      <c r="S2" s="16">
        <v>0</v>
      </c>
      <c r="T2" s="9">
        <v>0</v>
      </c>
      <c r="U2" s="9">
        <v>0</v>
      </c>
      <c r="V2" s="10" t="s">
        <v>204</v>
      </c>
      <c r="W2" s="16">
        <v>0</v>
      </c>
      <c r="X2" s="9">
        <v>0</v>
      </c>
      <c r="Y2" s="9">
        <v>0</v>
      </c>
      <c r="Z2" s="10" t="s">
        <v>204</v>
      </c>
      <c r="AA2" s="16">
        <v>0</v>
      </c>
      <c r="AB2" s="9">
        <v>0</v>
      </c>
      <c r="AC2" s="9">
        <v>0</v>
      </c>
      <c r="AD2" s="10" t="s">
        <v>204</v>
      </c>
      <c r="AE2" s="16">
        <v>0</v>
      </c>
      <c r="AF2" s="9">
        <v>0</v>
      </c>
      <c r="AG2" s="9">
        <v>0</v>
      </c>
      <c r="AH2" s="10" t="s">
        <v>204</v>
      </c>
      <c r="AI2" s="16">
        <v>0</v>
      </c>
      <c r="AJ2" s="9">
        <v>0</v>
      </c>
      <c r="AK2" s="9">
        <v>0</v>
      </c>
      <c r="AL2" s="10" t="s">
        <v>204</v>
      </c>
      <c r="AM2" s="16">
        <v>0</v>
      </c>
      <c r="AN2" s="9">
        <v>0</v>
      </c>
      <c r="AO2" s="9">
        <v>0</v>
      </c>
      <c r="AP2" s="10" t="s">
        <v>204</v>
      </c>
      <c r="AQ2" s="16">
        <v>0</v>
      </c>
      <c r="AR2" s="9">
        <v>0</v>
      </c>
      <c r="AS2" s="9">
        <v>0</v>
      </c>
      <c r="AT2" s="10" t="s">
        <v>204</v>
      </c>
      <c r="AU2" s="16">
        <v>0</v>
      </c>
      <c r="AV2" s="9">
        <v>0</v>
      </c>
      <c r="AW2" s="9">
        <v>0</v>
      </c>
      <c r="AX2" s="10" t="s">
        <v>204</v>
      </c>
      <c r="AY2" s="16">
        <v>0</v>
      </c>
      <c r="AZ2" s="9">
        <v>0</v>
      </c>
      <c r="BA2" s="9">
        <v>0</v>
      </c>
      <c r="BB2" s="10" t="s">
        <v>72</v>
      </c>
      <c r="BC2" s="12">
        <v>1000442117</v>
      </c>
      <c r="BD2" s="10" t="s">
        <v>205</v>
      </c>
    </row>
    <row r="3" spans="1:56" s="1" customFormat="1" ht="18" customHeight="1" x14ac:dyDescent="0.2">
      <c r="A3" s="12">
        <v>2</v>
      </c>
      <c r="B3" s="10" t="s">
        <v>199</v>
      </c>
      <c r="C3" s="10" t="s">
        <v>68</v>
      </c>
      <c r="D3" s="10" t="s">
        <v>200</v>
      </c>
      <c r="E3" s="10" t="s">
        <v>206</v>
      </c>
      <c r="F3" s="10" t="s">
        <v>207</v>
      </c>
      <c r="G3" s="10" t="s">
        <v>208</v>
      </c>
      <c r="H3" s="10" t="s">
        <v>74</v>
      </c>
      <c r="I3" s="12">
        <v>79</v>
      </c>
      <c r="J3" s="16">
        <v>42</v>
      </c>
      <c r="K3" s="16">
        <v>3318</v>
      </c>
      <c r="L3" s="31">
        <v>3.7930000000000001</v>
      </c>
      <c r="M3" s="16">
        <v>42</v>
      </c>
      <c r="N3" s="10" t="s">
        <v>204</v>
      </c>
      <c r="O3" s="16">
        <v>0</v>
      </c>
      <c r="P3" s="12">
        <v>0</v>
      </c>
      <c r="Q3" s="12">
        <v>0</v>
      </c>
      <c r="R3" s="10" t="s">
        <v>204</v>
      </c>
      <c r="S3" s="16">
        <v>0</v>
      </c>
      <c r="T3" s="9">
        <v>0</v>
      </c>
      <c r="U3" s="9">
        <v>0</v>
      </c>
      <c r="V3" s="10" t="s">
        <v>204</v>
      </c>
      <c r="W3" s="16">
        <v>0</v>
      </c>
      <c r="X3" s="9">
        <v>0</v>
      </c>
      <c r="Y3" s="9">
        <v>0</v>
      </c>
      <c r="Z3" s="10" t="s">
        <v>204</v>
      </c>
      <c r="AA3" s="16">
        <v>0</v>
      </c>
      <c r="AB3" s="9">
        <v>0</v>
      </c>
      <c r="AC3" s="9">
        <v>0</v>
      </c>
      <c r="AD3" s="10" t="s">
        <v>204</v>
      </c>
      <c r="AE3" s="16">
        <v>0</v>
      </c>
      <c r="AF3" s="9">
        <v>0</v>
      </c>
      <c r="AG3" s="9">
        <v>0</v>
      </c>
      <c r="AH3" s="10" t="s">
        <v>204</v>
      </c>
      <c r="AI3" s="16">
        <v>0</v>
      </c>
      <c r="AJ3" s="9">
        <v>0</v>
      </c>
      <c r="AK3" s="9">
        <v>0</v>
      </c>
      <c r="AL3" s="10" t="s">
        <v>204</v>
      </c>
      <c r="AM3" s="16">
        <v>0</v>
      </c>
      <c r="AN3" s="9">
        <v>0</v>
      </c>
      <c r="AO3" s="9">
        <v>0</v>
      </c>
      <c r="AP3" s="10" t="s">
        <v>204</v>
      </c>
      <c r="AQ3" s="16">
        <v>0</v>
      </c>
      <c r="AR3" s="9">
        <v>0</v>
      </c>
      <c r="AS3" s="9">
        <v>0</v>
      </c>
      <c r="AT3" s="10" t="s">
        <v>204</v>
      </c>
      <c r="AU3" s="16">
        <v>0</v>
      </c>
      <c r="AV3" s="9">
        <v>0</v>
      </c>
      <c r="AW3" s="9">
        <v>0</v>
      </c>
      <c r="AX3" s="10" t="s">
        <v>204</v>
      </c>
      <c r="AY3" s="16">
        <v>0</v>
      </c>
      <c r="AZ3" s="9">
        <v>0</v>
      </c>
      <c r="BA3" s="9">
        <v>0</v>
      </c>
      <c r="BB3" s="10" t="s">
        <v>72</v>
      </c>
      <c r="BC3" s="12">
        <v>1000439943</v>
      </c>
      <c r="BD3" s="10" t="s">
        <v>205</v>
      </c>
    </row>
    <row r="4" spans="1:56" s="1" customFormat="1" ht="18" customHeight="1" x14ac:dyDescent="0.2">
      <c r="A4" s="12">
        <v>3</v>
      </c>
      <c r="B4" s="10" t="s">
        <v>199</v>
      </c>
      <c r="C4" s="10" t="s">
        <v>68</v>
      </c>
      <c r="D4" s="10" t="s">
        <v>200</v>
      </c>
      <c r="E4" s="10" t="s">
        <v>206</v>
      </c>
      <c r="F4" s="10" t="s">
        <v>209</v>
      </c>
      <c r="G4" s="10" t="s">
        <v>210</v>
      </c>
      <c r="H4" s="10" t="s">
        <v>74</v>
      </c>
      <c r="I4" s="12">
        <v>100</v>
      </c>
      <c r="J4" s="16">
        <v>42</v>
      </c>
      <c r="K4" s="16">
        <v>4200</v>
      </c>
      <c r="L4" s="31">
        <v>3.7930000000000001</v>
      </c>
      <c r="M4" s="16">
        <v>42</v>
      </c>
      <c r="N4" s="10" t="s">
        <v>204</v>
      </c>
      <c r="O4" s="16">
        <v>0</v>
      </c>
      <c r="P4" s="12">
        <v>0</v>
      </c>
      <c r="Q4" s="12">
        <v>0</v>
      </c>
      <c r="R4" s="10" t="s">
        <v>204</v>
      </c>
      <c r="S4" s="16">
        <v>0</v>
      </c>
      <c r="T4" s="9">
        <v>0</v>
      </c>
      <c r="U4" s="9">
        <v>0</v>
      </c>
      <c r="V4" s="10" t="s">
        <v>204</v>
      </c>
      <c r="W4" s="16">
        <v>0</v>
      </c>
      <c r="X4" s="9">
        <v>0</v>
      </c>
      <c r="Y4" s="9">
        <v>0</v>
      </c>
      <c r="Z4" s="10" t="s">
        <v>204</v>
      </c>
      <c r="AA4" s="16">
        <v>0</v>
      </c>
      <c r="AB4" s="9">
        <v>0</v>
      </c>
      <c r="AC4" s="9">
        <v>0</v>
      </c>
      <c r="AD4" s="10" t="s">
        <v>204</v>
      </c>
      <c r="AE4" s="16">
        <v>0</v>
      </c>
      <c r="AF4" s="9">
        <v>0</v>
      </c>
      <c r="AG4" s="9">
        <v>0</v>
      </c>
      <c r="AH4" s="10" t="s">
        <v>204</v>
      </c>
      <c r="AI4" s="16">
        <v>0</v>
      </c>
      <c r="AJ4" s="9">
        <v>0</v>
      </c>
      <c r="AK4" s="9">
        <v>0</v>
      </c>
      <c r="AL4" s="10" t="s">
        <v>204</v>
      </c>
      <c r="AM4" s="16">
        <v>0</v>
      </c>
      <c r="AN4" s="9">
        <v>0</v>
      </c>
      <c r="AO4" s="9">
        <v>0</v>
      </c>
      <c r="AP4" s="10" t="s">
        <v>204</v>
      </c>
      <c r="AQ4" s="16">
        <v>0</v>
      </c>
      <c r="AR4" s="9">
        <v>0</v>
      </c>
      <c r="AS4" s="9">
        <v>0</v>
      </c>
      <c r="AT4" s="10" t="s">
        <v>204</v>
      </c>
      <c r="AU4" s="16">
        <v>0</v>
      </c>
      <c r="AV4" s="9">
        <v>0</v>
      </c>
      <c r="AW4" s="9">
        <v>0</v>
      </c>
      <c r="AX4" s="10" t="s">
        <v>204</v>
      </c>
      <c r="AY4" s="16">
        <v>0</v>
      </c>
      <c r="AZ4" s="9">
        <v>0</v>
      </c>
      <c r="BA4" s="9">
        <v>0</v>
      </c>
      <c r="BB4" s="10" t="s">
        <v>72</v>
      </c>
      <c r="BC4" s="12">
        <v>1000438256</v>
      </c>
      <c r="BD4" s="10" t="s">
        <v>205</v>
      </c>
    </row>
    <row r="5" spans="1:56" s="1" customFormat="1" ht="18" customHeight="1" x14ac:dyDescent="0.2">
      <c r="A5" s="12">
        <v>4</v>
      </c>
      <c r="B5" s="10" t="s">
        <v>199</v>
      </c>
      <c r="C5" s="10" t="s">
        <v>68</v>
      </c>
      <c r="D5" s="10" t="s">
        <v>200</v>
      </c>
      <c r="E5" s="10" t="s">
        <v>211</v>
      </c>
      <c r="F5" s="10" t="s">
        <v>212</v>
      </c>
      <c r="G5" s="10" t="s">
        <v>210</v>
      </c>
      <c r="H5" s="10" t="s">
        <v>74</v>
      </c>
      <c r="I5" s="12">
        <v>200</v>
      </c>
      <c r="J5" s="16">
        <v>42</v>
      </c>
      <c r="K5" s="16">
        <v>8400</v>
      </c>
      <c r="L5" s="31">
        <v>3.8029999999999999</v>
      </c>
      <c r="M5" s="16">
        <v>42</v>
      </c>
      <c r="N5" s="10" t="s">
        <v>204</v>
      </c>
      <c r="O5" s="16">
        <v>0</v>
      </c>
      <c r="P5" s="12">
        <v>0</v>
      </c>
      <c r="Q5" s="12">
        <v>0</v>
      </c>
      <c r="R5" s="10" t="s">
        <v>204</v>
      </c>
      <c r="S5" s="16">
        <v>0</v>
      </c>
      <c r="T5" s="9">
        <v>0</v>
      </c>
      <c r="U5" s="9">
        <v>0</v>
      </c>
      <c r="V5" s="10" t="s">
        <v>204</v>
      </c>
      <c r="W5" s="16">
        <v>0</v>
      </c>
      <c r="X5" s="9">
        <v>0</v>
      </c>
      <c r="Y5" s="9">
        <v>0</v>
      </c>
      <c r="Z5" s="10" t="s">
        <v>204</v>
      </c>
      <c r="AA5" s="16">
        <v>0</v>
      </c>
      <c r="AB5" s="9">
        <v>0</v>
      </c>
      <c r="AC5" s="9">
        <v>0</v>
      </c>
      <c r="AD5" s="10" t="s">
        <v>204</v>
      </c>
      <c r="AE5" s="16">
        <v>0</v>
      </c>
      <c r="AF5" s="9">
        <v>0</v>
      </c>
      <c r="AG5" s="9">
        <v>0</v>
      </c>
      <c r="AH5" s="10" t="s">
        <v>204</v>
      </c>
      <c r="AI5" s="16">
        <v>0</v>
      </c>
      <c r="AJ5" s="9">
        <v>0</v>
      </c>
      <c r="AK5" s="9">
        <v>0</v>
      </c>
      <c r="AL5" s="10" t="s">
        <v>204</v>
      </c>
      <c r="AM5" s="16">
        <v>0</v>
      </c>
      <c r="AN5" s="9">
        <v>0</v>
      </c>
      <c r="AO5" s="9">
        <v>0</v>
      </c>
      <c r="AP5" s="10" t="s">
        <v>204</v>
      </c>
      <c r="AQ5" s="16">
        <v>0</v>
      </c>
      <c r="AR5" s="9">
        <v>0</v>
      </c>
      <c r="AS5" s="9">
        <v>0</v>
      </c>
      <c r="AT5" s="10" t="s">
        <v>204</v>
      </c>
      <c r="AU5" s="16">
        <v>0</v>
      </c>
      <c r="AV5" s="9">
        <v>0</v>
      </c>
      <c r="AW5" s="9">
        <v>0</v>
      </c>
      <c r="AX5" s="10" t="s">
        <v>204</v>
      </c>
      <c r="AY5" s="16">
        <v>0</v>
      </c>
      <c r="AZ5" s="9">
        <v>0</v>
      </c>
      <c r="BA5" s="9">
        <v>0</v>
      </c>
      <c r="BB5" s="10" t="s">
        <v>72</v>
      </c>
      <c r="BC5" s="12">
        <v>1000438256</v>
      </c>
      <c r="BD5" s="10" t="s">
        <v>205</v>
      </c>
    </row>
    <row r="6" spans="1:56" s="1" customFormat="1" ht="18" customHeight="1" x14ac:dyDescent="0.2">
      <c r="A6" s="12">
        <v>5</v>
      </c>
      <c r="B6" s="10" t="s">
        <v>199</v>
      </c>
      <c r="C6" s="10" t="s">
        <v>68</v>
      </c>
      <c r="D6" s="10" t="s">
        <v>200</v>
      </c>
      <c r="E6" s="10" t="s">
        <v>213</v>
      </c>
      <c r="F6" s="10"/>
      <c r="G6" s="10" t="s">
        <v>214</v>
      </c>
      <c r="H6" s="10" t="s">
        <v>74</v>
      </c>
      <c r="I6" s="12">
        <v>100</v>
      </c>
      <c r="J6" s="16">
        <v>42</v>
      </c>
      <c r="K6" s="16">
        <v>4200</v>
      </c>
      <c r="L6" s="31">
        <v>3.8719999999999999</v>
      </c>
      <c r="M6" s="16">
        <v>42</v>
      </c>
      <c r="N6" s="10" t="s">
        <v>204</v>
      </c>
      <c r="O6" s="16">
        <v>0</v>
      </c>
      <c r="P6" s="12">
        <v>0</v>
      </c>
      <c r="Q6" s="12">
        <v>0</v>
      </c>
      <c r="R6" s="10" t="s">
        <v>204</v>
      </c>
      <c r="S6" s="16">
        <v>0</v>
      </c>
      <c r="T6" s="9">
        <v>0</v>
      </c>
      <c r="U6" s="9">
        <v>0</v>
      </c>
      <c r="V6" s="10" t="s">
        <v>204</v>
      </c>
      <c r="W6" s="16">
        <v>0</v>
      </c>
      <c r="X6" s="9">
        <v>0</v>
      </c>
      <c r="Y6" s="9">
        <v>0</v>
      </c>
      <c r="Z6" s="10" t="s">
        <v>204</v>
      </c>
      <c r="AA6" s="16">
        <v>0</v>
      </c>
      <c r="AB6" s="9">
        <v>0</v>
      </c>
      <c r="AC6" s="9">
        <v>0</v>
      </c>
      <c r="AD6" s="10" t="s">
        <v>204</v>
      </c>
      <c r="AE6" s="16">
        <v>0</v>
      </c>
      <c r="AF6" s="9">
        <v>0</v>
      </c>
      <c r="AG6" s="9">
        <v>0</v>
      </c>
      <c r="AH6" s="10" t="s">
        <v>204</v>
      </c>
      <c r="AI6" s="16">
        <v>0</v>
      </c>
      <c r="AJ6" s="9">
        <v>0</v>
      </c>
      <c r="AK6" s="9">
        <v>0</v>
      </c>
      <c r="AL6" s="10" t="s">
        <v>204</v>
      </c>
      <c r="AM6" s="16">
        <v>0</v>
      </c>
      <c r="AN6" s="9">
        <v>0</v>
      </c>
      <c r="AO6" s="9">
        <v>0</v>
      </c>
      <c r="AP6" s="10" t="s">
        <v>204</v>
      </c>
      <c r="AQ6" s="16">
        <v>0</v>
      </c>
      <c r="AR6" s="9">
        <v>0</v>
      </c>
      <c r="AS6" s="9">
        <v>0</v>
      </c>
      <c r="AT6" s="10" t="s">
        <v>204</v>
      </c>
      <c r="AU6" s="16">
        <v>0</v>
      </c>
      <c r="AV6" s="9">
        <v>0</v>
      </c>
      <c r="AW6" s="9">
        <v>0</v>
      </c>
      <c r="AX6" s="10" t="s">
        <v>204</v>
      </c>
      <c r="AY6" s="16">
        <v>0</v>
      </c>
      <c r="AZ6" s="9">
        <v>0</v>
      </c>
      <c r="BA6" s="9">
        <v>0</v>
      </c>
      <c r="BB6" s="10" t="s">
        <v>72</v>
      </c>
      <c r="BC6" s="12">
        <v>1000433957</v>
      </c>
      <c r="BD6" s="10" t="s">
        <v>205</v>
      </c>
    </row>
    <row r="7" spans="1:56" s="1" customFormat="1" ht="18" customHeight="1" x14ac:dyDescent="0.2">
      <c r="A7" s="12">
        <v>6</v>
      </c>
      <c r="B7" s="10" t="s">
        <v>199</v>
      </c>
      <c r="C7" s="10" t="s">
        <v>68</v>
      </c>
      <c r="D7" s="10" t="s">
        <v>200</v>
      </c>
      <c r="E7" s="10" t="s">
        <v>213</v>
      </c>
      <c r="F7" s="10"/>
      <c r="G7" s="10" t="s">
        <v>214</v>
      </c>
      <c r="H7" s="10" t="s">
        <v>74</v>
      </c>
      <c r="I7" s="12">
        <v>200</v>
      </c>
      <c r="J7" s="16">
        <v>42</v>
      </c>
      <c r="K7" s="16">
        <v>8400</v>
      </c>
      <c r="L7" s="31">
        <v>3.8719999999999999</v>
      </c>
      <c r="M7" s="16">
        <v>42</v>
      </c>
      <c r="N7" s="10" t="s">
        <v>204</v>
      </c>
      <c r="O7" s="16">
        <v>0</v>
      </c>
      <c r="P7" s="12">
        <v>0</v>
      </c>
      <c r="Q7" s="12">
        <v>0</v>
      </c>
      <c r="R7" s="10" t="s">
        <v>204</v>
      </c>
      <c r="S7" s="16">
        <v>0</v>
      </c>
      <c r="T7" s="9">
        <v>0</v>
      </c>
      <c r="U7" s="9">
        <v>0</v>
      </c>
      <c r="V7" s="10" t="s">
        <v>204</v>
      </c>
      <c r="W7" s="16">
        <v>0</v>
      </c>
      <c r="X7" s="9">
        <v>0</v>
      </c>
      <c r="Y7" s="9">
        <v>0</v>
      </c>
      <c r="Z7" s="10" t="s">
        <v>204</v>
      </c>
      <c r="AA7" s="16">
        <v>0</v>
      </c>
      <c r="AB7" s="9">
        <v>0</v>
      </c>
      <c r="AC7" s="9">
        <v>0</v>
      </c>
      <c r="AD7" s="10" t="s">
        <v>204</v>
      </c>
      <c r="AE7" s="16">
        <v>0</v>
      </c>
      <c r="AF7" s="9">
        <v>0</v>
      </c>
      <c r="AG7" s="9">
        <v>0</v>
      </c>
      <c r="AH7" s="10" t="s">
        <v>204</v>
      </c>
      <c r="AI7" s="16">
        <v>0</v>
      </c>
      <c r="AJ7" s="9">
        <v>0</v>
      </c>
      <c r="AK7" s="9">
        <v>0</v>
      </c>
      <c r="AL7" s="10" t="s">
        <v>204</v>
      </c>
      <c r="AM7" s="16">
        <v>0</v>
      </c>
      <c r="AN7" s="9">
        <v>0</v>
      </c>
      <c r="AO7" s="9">
        <v>0</v>
      </c>
      <c r="AP7" s="10" t="s">
        <v>204</v>
      </c>
      <c r="AQ7" s="16">
        <v>0</v>
      </c>
      <c r="AR7" s="9">
        <v>0</v>
      </c>
      <c r="AS7" s="9">
        <v>0</v>
      </c>
      <c r="AT7" s="10" t="s">
        <v>204</v>
      </c>
      <c r="AU7" s="16">
        <v>0</v>
      </c>
      <c r="AV7" s="9">
        <v>0</v>
      </c>
      <c r="AW7" s="9">
        <v>0</v>
      </c>
      <c r="AX7" s="10" t="s">
        <v>204</v>
      </c>
      <c r="AY7" s="16">
        <v>0</v>
      </c>
      <c r="AZ7" s="9">
        <v>0</v>
      </c>
      <c r="BA7" s="9">
        <v>0</v>
      </c>
      <c r="BB7" s="10" t="s">
        <v>72</v>
      </c>
      <c r="BC7" s="12">
        <v>1000433957</v>
      </c>
      <c r="BD7" s="10" t="s">
        <v>205</v>
      </c>
    </row>
    <row r="8" spans="1:56" s="1" customFormat="1" ht="18" customHeight="1" x14ac:dyDescent="0.2">
      <c r="A8" s="12">
        <v>7</v>
      </c>
      <c r="B8" s="10" t="s">
        <v>199</v>
      </c>
      <c r="C8" s="10" t="s">
        <v>68</v>
      </c>
      <c r="D8" s="10" t="s">
        <v>200</v>
      </c>
      <c r="E8" s="10" t="s">
        <v>215</v>
      </c>
      <c r="F8" s="10"/>
      <c r="G8" s="10" t="s">
        <v>216</v>
      </c>
      <c r="H8" s="10" t="s">
        <v>74</v>
      </c>
      <c r="I8" s="12">
        <v>50</v>
      </c>
      <c r="J8" s="16">
        <v>42</v>
      </c>
      <c r="K8" s="16">
        <v>2100</v>
      </c>
      <c r="L8" s="31">
        <v>3.7970000000000002</v>
      </c>
      <c r="M8" s="16">
        <v>42</v>
      </c>
      <c r="N8" s="10" t="s">
        <v>204</v>
      </c>
      <c r="O8" s="16">
        <v>0</v>
      </c>
      <c r="P8" s="12">
        <v>0</v>
      </c>
      <c r="Q8" s="12">
        <v>0</v>
      </c>
      <c r="R8" s="10" t="s">
        <v>204</v>
      </c>
      <c r="S8" s="16">
        <v>0</v>
      </c>
      <c r="T8" s="9">
        <v>0</v>
      </c>
      <c r="U8" s="9">
        <v>0</v>
      </c>
      <c r="V8" s="10" t="s">
        <v>204</v>
      </c>
      <c r="W8" s="16">
        <v>0</v>
      </c>
      <c r="X8" s="9">
        <v>0</v>
      </c>
      <c r="Y8" s="9">
        <v>0</v>
      </c>
      <c r="Z8" s="10" t="s">
        <v>204</v>
      </c>
      <c r="AA8" s="16">
        <v>0</v>
      </c>
      <c r="AB8" s="9">
        <v>0</v>
      </c>
      <c r="AC8" s="9">
        <v>0</v>
      </c>
      <c r="AD8" s="10" t="s">
        <v>204</v>
      </c>
      <c r="AE8" s="16">
        <v>0</v>
      </c>
      <c r="AF8" s="9">
        <v>0</v>
      </c>
      <c r="AG8" s="9">
        <v>0</v>
      </c>
      <c r="AH8" s="10" t="s">
        <v>204</v>
      </c>
      <c r="AI8" s="16">
        <v>0</v>
      </c>
      <c r="AJ8" s="9">
        <v>0</v>
      </c>
      <c r="AK8" s="9">
        <v>0</v>
      </c>
      <c r="AL8" s="10" t="s">
        <v>204</v>
      </c>
      <c r="AM8" s="16">
        <v>0</v>
      </c>
      <c r="AN8" s="9">
        <v>0</v>
      </c>
      <c r="AO8" s="9">
        <v>0</v>
      </c>
      <c r="AP8" s="10" t="s">
        <v>204</v>
      </c>
      <c r="AQ8" s="16">
        <v>0</v>
      </c>
      <c r="AR8" s="9">
        <v>0</v>
      </c>
      <c r="AS8" s="9">
        <v>0</v>
      </c>
      <c r="AT8" s="10" t="s">
        <v>204</v>
      </c>
      <c r="AU8" s="16">
        <v>0</v>
      </c>
      <c r="AV8" s="9">
        <v>0</v>
      </c>
      <c r="AW8" s="9">
        <v>0</v>
      </c>
      <c r="AX8" s="10" t="s">
        <v>204</v>
      </c>
      <c r="AY8" s="16">
        <v>0</v>
      </c>
      <c r="AZ8" s="9">
        <v>0</v>
      </c>
      <c r="BA8" s="9">
        <v>0</v>
      </c>
      <c r="BB8" s="10" t="s">
        <v>72</v>
      </c>
      <c r="BC8" s="12">
        <v>1000432944</v>
      </c>
      <c r="BD8" s="10" t="s">
        <v>205</v>
      </c>
    </row>
    <row r="9" spans="1:56" s="1" customFormat="1" ht="18" customHeight="1" x14ac:dyDescent="0.2">
      <c r="A9" s="12">
        <v>8</v>
      </c>
      <c r="B9" s="10" t="s">
        <v>199</v>
      </c>
      <c r="C9" s="10" t="s">
        <v>68</v>
      </c>
      <c r="D9" s="10" t="s">
        <v>200</v>
      </c>
      <c r="E9" s="10" t="s">
        <v>217</v>
      </c>
      <c r="F9" s="10"/>
      <c r="G9" s="10" t="s">
        <v>216</v>
      </c>
      <c r="H9" s="10" t="s">
        <v>74</v>
      </c>
      <c r="I9" s="12">
        <v>100</v>
      </c>
      <c r="J9" s="16">
        <v>42</v>
      </c>
      <c r="K9" s="16">
        <v>4200</v>
      </c>
      <c r="L9" s="31">
        <v>3.806</v>
      </c>
      <c r="M9" s="16">
        <v>42</v>
      </c>
      <c r="N9" s="10" t="s">
        <v>204</v>
      </c>
      <c r="O9" s="16">
        <v>0</v>
      </c>
      <c r="P9" s="12">
        <v>0</v>
      </c>
      <c r="Q9" s="12">
        <v>0</v>
      </c>
      <c r="R9" s="10" t="s">
        <v>204</v>
      </c>
      <c r="S9" s="16">
        <v>0</v>
      </c>
      <c r="T9" s="9">
        <v>0</v>
      </c>
      <c r="U9" s="9">
        <v>0</v>
      </c>
      <c r="V9" s="10" t="s">
        <v>204</v>
      </c>
      <c r="W9" s="16">
        <v>0</v>
      </c>
      <c r="X9" s="9">
        <v>0</v>
      </c>
      <c r="Y9" s="9">
        <v>0</v>
      </c>
      <c r="Z9" s="10" t="s">
        <v>204</v>
      </c>
      <c r="AA9" s="16">
        <v>0</v>
      </c>
      <c r="AB9" s="9">
        <v>0</v>
      </c>
      <c r="AC9" s="9">
        <v>0</v>
      </c>
      <c r="AD9" s="10" t="s">
        <v>204</v>
      </c>
      <c r="AE9" s="16">
        <v>0</v>
      </c>
      <c r="AF9" s="9">
        <v>0</v>
      </c>
      <c r="AG9" s="9">
        <v>0</v>
      </c>
      <c r="AH9" s="10" t="s">
        <v>204</v>
      </c>
      <c r="AI9" s="16">
        <v>0</v>
      </c>
      <c r="AJ9" s="9">
        <v>0</v>
      </c>
      <c r="AK9" s="9">
        <v>0</v>
      </c>
      <c r="AL9" s="10" t="s">
        <v>204</v>
      </c>
      <c r="AM9" s="16">
        <v>0</v>
      </c>
      <c r="AN9" s="9">
        <v>0</v>
      </c>
      <c r="AO9" s="9">
        <v>0</v>
      </c>
      <c r="AP9" s="10" t="s">
        <v>204</v>
      </c>
      <c r="AQ9" s="16">
        <v>0</v>
      </c>
      <c r="AR9" s="9">
        <v>0</v>
      </c>
      <c r="AS9" s="9">
        <v>0</v>
      </c>
      <c r="AT9" s="10" t="s">
        <v>204</v>
      </c>
      <c r="AU9" s="16">
        <v>0</v>
      </c>
      <c r="AV9" s="9">
        <v>0</v>
      </c>
      <c r="AW9" s="9">
        <v>0</v>
      </c>
      <c r="AX9" s="10" t="s">
        <v>204</v>
      </c>
      <c r="AY9" s="16">
        <v>0</v>
      </c>
      <c r="AZ9" s="9">
        <v>0</v>
      </c>
      <c r="BA9" s="9">
        <v>0</v>
      </c>
      <c r="BB9" s="10" t="s">
        <v>72</v>
      </c>
      <c r="BC9" s="12">
        <v>1000432889</v>
      </c>
      <c r="BD9" s="10" t="s">
        <v>205</v>
      </c>
    </row>
    <row r="10" spans="1:56" s="1" customFormat="1" ht="18" customHeight="1" x14ac:dyDescent="0.2">
      <c r="A10" s="12">
        <v>9</v>
      </c>
      <c r="B10" s="10" t="s">
        <v>64</v>
      </c>
      <c r="C10" s="10" t="s">
        <v>68</v>
      </c>
      <c r="D10" s="10" t="s">
        <v>79</v>
      </c>
      <c r="E10" s="10" t="s">
        <v>218</v>
      </c>
      <c r="F10" s="10" t="s">
        <v>219</v>
      </c>
      <c r="G10" s="10" t="s">
        <v>220</v>
      </c>
      <c r="H10" s="10" t="s">
        <v>74</v>
      </c>
      <c r="I10" s="12">
        <v>50</v>
      </c>
      <c r="J10" s="16">
        <v>365.34</v>
      </c>
      <c r="K10" s="16">
        <v>18267</v>
      </c>
      <c r="L10" s="31">
        <v>3.6749999999999998</v>
      </c>
      <c r="M10" s="16">
        <v>365.34</v>
      </c>
      <c r="N10" s="10" t="s">
        <v>475</v>
      </c>
      <c r="O10" s="16">
        <v>365.34</v>
      </c>
      <c r="P10" s="12">
        <v>0</v>
      </c>
      <c r="Q10" s="12">
        <v>24</v>
      </c>
      <c r="R10" s="10" t="s">
        <v>204</v>
      </c>
      <c r="S10" s="16">
        <v>0</v>
      </c>
      <c r="T10" s="9">
        <v>0</v>
      </c>
      <c r="U10" s="9">
        <v>0</v>
      </c>
      <c r="V10" s="10" t="s">
        <v>204</v>
      </c>
      <c r="W10" s="16">
        <v>0</v>
      </c>
      <c r="X10" s="9">
        <v>0</v>
      </c>
      <c r="Y10" s="9">
        <v>0</v>
      </c>
      <c r="Z10" s="10" t="s">
        <v>204</v>
      </c>
      <c r="AA10" s="16">
        <v>0</v>
      </c>
      <c r="AB10" s="9">
        <v>0</v>
      </c>
      <c r="AC10" s="9">
        <v>0</v>
      </c>
      <c r="AD10" s="10" t="s">
        <v>204</v>
      </c>
      <c r="AE10" s="16">
        <v>0</v>
      </c>
      <c r="AF10" s="9">
        <v>0</v>
      </c>
      <c r="AG10" s="9">
        <v>0</v>
      </c>
      <c r="AH10" s="10" t="s">
        <v>204</v>
      </c>
      <c r="AI10" s="16">
        <v>0</v>
      </c>
      <c r="AJ10" s="9">
        <v>0</v>
      </c>
      <c r="AK10" s="9">
        <v>0</v>
      </c>
      <c r="AL10" s="10" t="s">
        <v>204</v>
      </c>
      <c r="AM10" s="16">
        <v>0</v>
      </c>
      <c r="AN10" s="9">
        <v>0</v>
      </c>
      <c r="AO10" s="9">
        <v>0</v>
      </c>
      <c r="AP10" s="10" t="s">
        <v>204</v>
      </c>
      <c r="AQ10" s="16">
        <v>0</v>
      </c>
      <c r="AR10" s="9">
        <v>0</v>
      </c>
      <c r="AS10" s="9">
        <v>0</v>
      </c>
      <c r="AT10" s="10" t="s">
        <v>204</v>
      </c>
      <c r="AU10" s="16">
        <v>0</v>
      </c>
      <c r="AV10" s="9">
        <v>0</v>
      </c>
      <c r="AW10" s="9">
        <v>0</v>
      </c>
      <c r="AX10" s="10" t="s">
        <v>204</v>
      </c>
      <c r="AY10" s="16">
        <v>0</v>
      </c>
      <c r="AZ10" s="9">
        <v>0</v>
      </c>
      <c r="BA10" s="9">
        <v>0</v>
      </c>
      <c r="BB10" s="10" t="s">
        <v>72</v>
      </c>
      <c r="BC10" s="12">
        <v>1000427925</v>
      </c>
      <c r="BD10" s="10" t="s">
        <v>205</v>
      </c>
    </row>
    <row r="11" spans="1:56" s="1" customFormat="1" ht="18" customHeight="1" x14ac:dyDescent="0.2">
      <c r="A11" s="12">
        <v>10</v>
      </c>
      <c r="B11" s="10" t="s">
        <v>64</v>
      </c>
      <c r="C11" s="10" t="s">
        <v>68</v>
      </c>
      <c r="D11" s="10" t="s">
        <v>79</v>
      </c>
      <c r="E11" s="10" t="s">
        <v>221</v>
      </c>
      <c r="F11" s="10"/>
      <c r="G11" s="10" t="s">
        <v>222</v>
      </c>
      <c r="H11" s="10" t="s">
        <v>74</v>
      </c>
      <c r="I11" s="12">
        <v>15</v>
      </c>
      <c r="J11" s="16">
        <v>365.34</v>
      </c>
      <c r="K11" s="16">
        <v>5480.1</v>
      </c>
      <c r="L11" s="31">
        <v>3.827</v>
      </c>
      <c r="M11" s="16">
        <v>365.34</v>
      </c>
      <c r="N11" s="10" t="s">
        <v>204</v>
      </c>
      <c r="O11" s="16">
        <v>0</v>
      </c>
      <c r="P11" s="12">
        <v>0</v>
      </c>
      <c r="Q11" s="12">
        <v>0</v>
      </c>
      <c r="R11" s="10" t="s">
        <v>204</v>
      </c>
      <c r="S11" s="16">
        <v>0</v>
      </c>
      <c r="T11" s="9">
        <v>0</v>
      </c>
      <c r="U11" s="9">
        <v>0</v>
      </c>
      <c r="V11" s="10" t="s">
        <v>204</v>
      </c>
      <c r="W11" s="16">
        <v>0</v>
      </c>
      <c r="X11" s="9">
        <v>0</v>
      </c>
      <c r="Y11" s="9">
        <v>0</v>
      </c>
      <c r="Z11" s="10" t="s">
        <v>204</v>
      </c>
      <c r="AA11" s="16">
        <v>0</v>
      </c>
      <c r="AB11" s="9">
        <v>0</v>
      </c>
      <c r="AC11" s="9">
        <v>0</v>
      </c>
      <c r="AD11" s="10" t="s">
        <v>204</v>
      </c>
      <c r="AE11" s="16">
        <v>0</v>
      </c>
      <c r="AF11" s="9">
        <v>0</v>
      </c>
      <c r="AG11" s="9">
        <v>0</v>
      </c>
      <c r="AH11" s="10" t="s">
        <v>204</v>
      </c>
      <c r="AI11" s="16">
        <v>0</v>
      </c>
      <c r="AJ11" s="9">
        <v>0</v>
      </c>
      <c r="AK11" s="9">
        <v>0</v>
      </c>
      <c r="AL11" s="10" t="s">
        <v>204</v>
      </c>
      <c r="AM11" s="16">
        <v>0</v>
      </c>
      <c r="AN11" s="9">
        <v>0</v>
      </c>
      <c r="AO11" s="9">
        <v>0</v>
      </c>
      <c r="AP11" s="10" t="s">
        <v>204</v>
      </c>
      <c r="AQ11" s="16">
        <v>0</v>
      </c>
      <c r="AR11" s="9">
        <v>0</v>
      </c>
      <c r="AS11" s="9">
        <v>0</v>
      </c>
      <c r="AT11" s="10" t="s">
        <v>204</v>
      </c>
      <c r="AU11" s="16">
        <v>0</v>
      </c>
      <c r="AV11" s="9">
        <v>0</v>
      </c>
      <c r="AW11" s="9">
        <v>0</v>
      </c>
      <c r="AX11" s="10" t="s">
        <v>204</v>
      </c>
      <c r="AY11" s="16">
        <v>0</v>
      </c>
      <c r="AZ11" s="9">
        <v>0</v>
      </c>
      <c r="BA11" s="9">
        <v>0</v>
      </c>
      <c r="BB11" s="10" t="s">
        <v>72</v>
      </c>
      <c r="BC11" s="12">
        <v>1000422908</v>
      </c>
      <c r="BD11" s="10" t="s">
        <v>205</v>
      </c>
    </row>
    <row r="12" spans="1:56" s="1" customFormat="1" ht="18" customHeight="1" x14ac:dyDescent="0.2">
      <c r="A12" s="12">
        <v>11</v>
      </c>
      <c r="B12" s="10" t="s">
        <v>64</v>
      </c>
      <c r="C12" s="10" t="s">
        <v>68</v>
      </c>
      <c r="D12" s="10" t="s">
        <v>79</v>
      </c>
      <c r="E12" s="10" t="s">
        <v>223</v>
      </c>
      <c r="F12" s="10"/>
      <c r="G12" s="10" t="s">
        <v>224</v>
      </c>
      <c r="H12" s="10" t="s">
        <v>74</v>
      </c>
      <c r="I12" s="12">
        <v>15</v>
      </c>
      <c r="J12" s="16">
        <v>365.34</v>
      </c>
      <c r="K12" s="16">
        <v>5480.1</v>
      </c>
      <c r="L12" s="31">
        <v>3.835</v>
      </c>
      <c r="M12" s="16">
        <v>365.34</v>
      </c>
      <c r="N12" s="10" t="s">
        <v>204</v>
      </c>
      <c r="O12" s="16">
        <v>0</v>
      </c>
      <c r="P12" s="12">
        <v>0</v>
      </c>
      <c r="Q12" s="12">
        <v>0</v>
      </c>
      <c r="R12" s="10" t="s">
        <v>204</v>
      </c>
      <c r="S12" s="16">
        <v>0</v>
      </c>
      <c r="T12" s="9">
        <v>0</v>
      </c>
      <c r="U12" s="9">
        <v>0</v>
      </c>
      <c r="V12" s="10" t="s">
        <v>204</v>
      </c>
      <c r="W12" s="16">
        <v>0</v>
      </c>
      <c r="X12" s="9">
        <v>0</v>
      </c>
      <c r="Y12" s="9">
        <v>0</v>
      </c>
      <c r="Z12" s="10" t="s">
        <v>204</v>
      </c>
      <c r="AA12" s="16">
        <v>0</v>
      </c>
      <c r="AB12" s="9">
        <v>0</v>
      </c>
      <c r="AC12" s="9">
        <v>0</v>
      </c>
      <c r="AD12" s="10" t="s">
        <v>204</v>
      </c>
      <c r="AE12" s="16">
        <v>0</v>
      </c>
      <c r="AF12" s="9">
        <v>0</v>
      </c>
      <c r="AG12" s="9">
        <v>0</v>
      </c>
      <c r="AH12" s="10" t="s">
        <v>204</v>
      </c>
      <c r="AI12" s="16">
        <v>0</v>
      </c>
      <c r="AJ12" s="9">
        <v>0</v>
      </c>
      <c r="AK12" s="9">
        <v>0</v>
      </c>
      <c r="AL12" s="10" t="s">
        <v>204</v>
      </c>
      <c r="AM12" s="16">
        <v>0</v>
      </c>
      <c r="AN12" s="9">
        <v>0</v>
      </c>
      <c r="AO12" s="9">
        <v>0</v>
      </c>
      <c r="AP12" s="10" t="s">
        <v>204</v>
      </c>
      <c r="AQ12" s="16">
        <v>0</v>
      </c>
      <c r="AR12" s="9">
        <v>0</v>
      </c>
      <c r="AS12" s="9">
        <v>0</v>
      </c>
      <c r="AT12" s="10" t="s">
        <v>204</v>
      </c>
      <c r="AU12" s="16">
        <v>0</v>
      </c>
      <c r="AV12" s="9">
        <v>0</v>
      </c>
      <c r="AW12" s="9">
        <v>0</v>
      </c>
      <c r="AX12" s="10" t="s">
        <v>204</v>
      </c>
      <c r="AY12" s="16">
        <v>0</v>
      </c>
      <c r="AZ12" s="9">
        <v>0</v>
      </c>
      <c r="BA12" s="9">
        <v>0</v>
      </c>
      <c r="BB12" s="10" t="s">
        <v>72</v>
      </c>
      <c r="BC12" s="12">
        <v>1000422292</v>
      </c>
      <c r="BD12" s="10" t="s">
        <v>205</v>
      </c>
    </row>
    <row r="13" spans="1:56" s="1" customFormat="1" ht="18" customHeight="1" x14ac:dyDescent="0.2">
      <c r="A13" s="12">
        <v>12</v>
      </c>
      <c r="B13" s="10" t="s">
        <v>64</v>
      </c>
      <c r="C13" s="10" t="s">
        <v>68</v>
      </c>
      <c r="D13" s="10" t="s">
        <v>79</v>
      </c>
      <c r="E13" s="10" t="s">
        <v>225</v>
      </c>
      <c r="F13" s="10" t="s">
        <v>226</v>
      </c>
      <c r="G13" s="10" t="s">
        <v>224</v>
      </c>
      <c r="H13" s="10" t="s">
        <v>74</v>
      </c>
      <c r="I13" s="12">
        <v>3</v>
      </c>
      <c r="J13" s="16">
        <v>365.34</v>
      </c>
      <c r="K13" s="16">
        <v>1096.02</v>
      </c>
      <c r="L13" s="31">
        <v>3.859</v>
      </c>
      <c r="M13" s="16">
        <v>365.34</v>
      </c>
      <c r="N13" s="10" t="s">
        <v>204</v>
      </c>
      <c r="O13" s="16">
        <v>0</v>
      </c>
      <c r="P13" s="12">
        <v>0</v>
      </c>
      <c r="Q13" s="12">
        <v>0</v>
      </c>
      <c r="R13" s="10" t="s">
        <v>204</v>
      </c>
      <c r="S13" s="16">
        <v>0</v>
      </c>
      <c r="T13" s="9">
        <v>0</v>
      </c>
      <c r="U13" s="9">
        <v>0</v>
      </c>
      <c r="V13" s="10" t="s">
        <v>204</v>
      </c>
      <c r="W13" s="16">
        <v>0</v>
      </c>
      <c r="X13" s="9">
        <v>0</v>
      </c>
      <c r="Y13" s="9">
        <v>0</v>
      </c>
      <c r="Z13" s="10" t="s">
        <v>204</v>
      </c>
      <c r="AA13" s="16">
        <v>0</v>
      </c>
      <c r="AB13" s="9">
        <v>0</v>
      </c>
      <c r="AC13" s="9">
        <v>0</v>
      </c>
      <c r="AD13" s="10" t="s">
        <v>204</v>
      </c>
      <c r="AE13" s="16">
        <v>0</v>
      </c>
      <c r="AF13" s="9">
        <v>0</v>
      </c>
      <c r="AG13" s="9">
        <v>0</v>
      </c>
      <c r="AH13" s="10" t="s">
        <v>204</v>
      </c>
      <c r="AI13" s="16">
        <v>0</v>
      </c>
      <c r="AJ13" s="9">
        <v>0</v>
      </c>
      <c r="AK13" s="9">
        <v>0</v>
      </c>
      <c r="AL13" s="10" t="s">
        <v>204</v>
      </c>
      <c r="AM13" s="16">
        <v>0</v>
      </c>
      <c r="AN13" s="9">
        <v>0</v>
      </c>
      <c r="AO13" s="9">
        <v>0</v>
      </c>
      <c r="AP13" s="10" t="s">
        <v>204</v>
      </c>
      <c r="AQ13" s="16">
        <v>0</v>
      </c>
      <c r="AR13" s="9">
        <v>0</v>
      </c>
      <c r="AS13" s="9">
        <v>0</v>
      </c>
      <c r="AT13" s="10" t="s">
        <v>204</v>
      </c>
      <c r="AU13" s="16">
        <v>0</v>
      </c>
      <c r="AV13" s="9">
        <v>0</v>
      </c>
      <c r="AW13" s="9">
        <v>0</v>
      </c>
      <c r="AX13" s="10" t="s">
        <v>204</v>
      </c>
      <c r="AY13" s="16">
        <v>0</v>
      </c>
      <c r="AZ13" s="9">
        <v>0</v>
      </c>
      <c r="BA13" s="9">
        <v>0</v>
      </c>
      <c r="BB13" s="10" t="s">
        <v>72</v>
      </c>
      <c r="BC13" s="12">
        <v>1000422292</v>
      </c>
      <c r="BD13" s="10" t="s">
        <v>205</v>
      </c>
    </row>
    <row r="14" spans="1:56" s="1" customFormat="1" ht="18" customHeight="1" x14ac:dyDescent="0.2">
      <c r="A14" s="12">
        <v>13</v>
      </c>
      <c r="B14" s="10" t="s">
        <v>64</v>
      </c>
      <c r="C14" s="10" t="s">
        <v>68</v>
      </c>
      <c r="D14" s="10" t="s">
        <v>79</v>
      </c>
      <c r="E14" s="10" t="s">
        <v>227</v>
      </c>
      <c r="F14" s="10"/>
      <c r="G14" s="10" t="s">
        <v>224</v>
      </c>
      <c r="H14" s="10" t="s">
        <v>74</v>
      </c>
      <c r="I14" s="12">
        <v>2</v>
      </c>
      <c r="J14" s="16">
        <v>365.34</v>
      </c>
      <c r="K14" s="16">
        <v>730.68</v>
      </c>
      <c r="L14" s="31">
        <v>3.9</v>
      </c>
      <c r="M14" s="16">
        <v>365.34</v>
      </c>
      <c r="N14" s="10" t="s">
        <v>204</v>
      </c>
      <c r="O14" s="16">
        <v>0</v>
      </c>
      <c r="P14" s="12">
        <v>0</v>
      </c>
      <c r="Q14" s="12">
        <v>0</v>
      </c>
      <c r="R14" s="10" t="s">
        <v>204</v>
      </c>
      <c r="S14" s="16">
        <v>0</v>
      </c>
      <c r="T14" s="9">
        <v>0</v>
      </c>
      <c r="U14" s="9">
        <v>0</v>
      </c>
      <c r="V14" s="10" t="s">
        <v>204</v>
      </c>
      <c r="W14" s="16">
        <v>0</v>
      </c>
      <c r="X14" s="9">
        <v>0</v>
      </c>
      <c r="Y14" s="9">
        <v>0</v>
      </c>
      <c r="Z14" s="10" t="s">
        <v>204</v>
      </c>
      <c r="AA14" s="16">
        <v>0</v>
      </c>
      <c r="AB14" s="9">
        <v>0</v>
      </c>
      <c r="AC14" s="9">
        <v>0</v>
      </c>
      <c r="AD14" s="10" t="s">
        <v>204</v>
      </c>
      <c r="AE14" s="16">
        <v>0</v>
      </c>
      <c r="AF14" s="9">
        <v>0</v>
      </c>
      <c r="AG14" s="9">
        <v>0</v>
      </c>
      <c r="AH14" s="10" t="s">
        <v>204</v>
      </c>
      <c r="AI14" s="16">
        <v>0</v>
      </c>
      <c r="AJ14" s="9">
        <v>0</v>
      </c>
      <c r="AK14" s="9">
        <v>0</v>
      </c>
      <c r="AL14" s="10" t="s">
        <v>204</v>
      </c>
      <c r="AM14" s="16">
        <v>0</v>
      </c>
      <c r="AN14" s="9">
        <v>0</v>
      </c>
      <c r="AO14" s="9">
        <v>0</v>
      </c>
      <c r="AP14" s="10" t="s">
        <v>204</v>
      </c>
      <c r="AQ14" s="16">
        <v>0</v>
      </c>
      <c r="AR14" s="9">
        <v>0</v>
      </c>
      <c r="AS14" s="9">
        <v>0</v>
      </c>
      <c r="AT14" s="10" t="s">
        <v>204</v>
      </c>
      <c r="AU14" s="16">
        <v>0</v>
      </c>
      <c r="AV14" s="9">
        <v>0</v>
      </c>
      <c r="AW14" s="9">
        <v>0</v>
      </c>
      <c r="AX14" s="10" t="s">
        <v>204</v>
      </c>
      <c r="AY14" s="16">
        <v>0</v>
      </c>
      <c r="AZ14" s="9">
        <v>0</v>
      </c>
      <c r="BA14" s="9">
        <v>0</v>
      </c>
      <c r="BB14" s="10" t="s">
        <v>72</v>
      </c>
      <c r="BC14" s="12">
        <v>1000422292</v>
      </c>
      <c r="BD14" s="10" t="s">
        <v>205</v>
      </c>
    </row>
    <row r="15" spans="1:56" s="1" customFormat="1" ht="18" customHeight="1" x14ac:dyDescent="0.2">
      <c r="A15" s="12">
        <v>14</v>
      </c>
      <c r="B15" s="10" t="s">
        <v>64</v>
      </c>
      <c r="C15" s="10" t="s">
        <v>68</v>
      </c>
      <c r="D15" s="10" t="s">
        <v>79</v>
      </c>
      <c r="E15" s="10" t="s">
        <v>228</v>
      </c>
      <c r="F15" s="10" t="s">
        <v>229</v>
      </c>
      <c r="G15" s="10" t="s">
        <v>224</v>
      </c>
      <c r="H15" s="10" t="s">
        <v>74</v>
      </c>
      <c r="I15" s="12">
        <v>20</v>
      </c>
      <c r="J15" s="16">
        <v>365.34</v>
      </c>
      <c r="K15" s="16">
        <v>7306.8</v>
      </c>
      <c r="L15" s="31">
        <v>3.8250000000000002</v>
      </c>
      <c r="M15" s="16">
        <v>365.34</v>
      </c>
      <c r="N15" s="10" t="s">
        <v>204</v>
      </c>
      <c r="O15" s="16">
        <v>0</v>
      </c>
      <c r="P15" s="12">
        <v>0</v>
      </c>
      <c r="Q15" s="12">
        <v>0</v>
      </c>
      <c r="R15" s="10" t="s">
        <v>204</v>
      </c>
      <c r="S15" s="16">
        <v>0</v>
      </c>
      <c r="T15" s="9">
        <v>0</v>
      </c>
      <c r="U15" s="9">
        <v>0</v>
      </c>
      <c r="V15" s="10" t="s">
        <v>204</v>
      </c>
      <c r="W15" s="16">
        <v>0</v>
      </c>
      <c r="X15" s="9">
        <v>0</v>
      </c>
      <c r="Y15" s="9">
        <v>0</v>
      </c>
      <c r="Z15" s="10" t="s">
        <v>204</v>
      </c>
      <c r="AA15" s="16">
        <v>0</v>
      </c>
      <c r="AB15" s="9">
        <v>0</v>
      </c>
      <c r="AC15" s="9">
        <v>0</v>
      </c>
      <c r="AD15" s="10" t="s">
        <v>204</v>
      </c>
      <c r="AE15" s="16">
        <v>0</v>
      </c>
      <c r="AF15" s="9">
        <v>0</v>
      </c>
      <c r="AG15" s="9">
        <v>0</v>
      </c>
      <c r="AH15" s="10" t="s">
        <v>204</v>
      </c>
      <c r="AI15" s="16">
        <v>0</v>
      </c>
      <c r="AJ15" s="9">
        <v>0</v>
      </c>
      <c r="AK15" s="9">
        <v>0</v>
      </c>
      <c r="AL15" s="10" t="s">
        <v>204</v>
      </c>
      <c r="AM15" s="16">
        <v>0</v>
      </c>
      <c r="AN15" s="9">
        <v>0</v>
      </c>
      <c r="AO15" s="9">
        <v>0</v>
      </c>
      <c r="AP15" s="10" t="s">
        <v>204</v>
      </c>
      <c r="AQ15" s="16">
        <v>0</v>
      </c>
      <c r="AR15" s="9">
        <v>0</v>
      </c>
      <c r="AS15" s="9">
        <v>0</v>
      </c>
      <c r="AT15" s="10" t="s">
        <v>204</v>
      </c>
      <c r="AU15" s="16">
        <v>0</v>
      </c>
      <c r="AV15" s="9">
        <v>0</v>
      </c>
      <c r="AW15" s="9">
        <v>0</v>
      </c>
      <c r="AX15" s="10" t="s">
        <v>204</v>
      </c>
      <c r="AY15" s="16">
        <v>0</v>
      </c>
      <c r="AZ15" s="9">
        <v>0</v>
      </c>
      <c r="BA15" s="9">
        <v>0</v>
      </c>
      <c r="BB15" s="10" t="s">
        <v>72</v>
      </c>
      <c r="BC15" s="12">
        <v>1000422292</v>
      </c>
      <c r="BD15" s="10" t="s">
        <v>205</v>
      </c>
    </row>
    <row r="16" spans="1:56" s="1" customFormat="1" ht="18" customHeight="1" x14ac:dyDescent="0.2">
      <c r="A16" s="12">
        <v>15</v>
      </c>
      <c r="B16" s="10" t="s">
        <v>64</v>
      </c>
      <c r="C16" s="10" t="s">
        <v>68</v>
      </c>
      <c r="D16" s="10" t="s">
        <v>79</v>
      </c>
      <c r="E16" s="10" t="s">
        <v>230</v>
      </c>
      <c r="F16" s="10"/>
      <c r="G16" s="10" t="s">
        <v>231</v>
      </c>
      <c r="H16" s="10" t="s">
        <v>74</v>
      </c>
      <c r="I16" s="12">
        <v>50</v>
      </c>
      <c r="J16" s="16">
        <v>357.71</v>
      </c>
      <c r="K16" s="16">
        <v>17885.5</v>
      </c>
      <c r="L16" s="31">
        <v>3.714</v>
      </c>
      <c r="M16" s="16">
        <v>357.71</v>
      </c>
      <c r="N16" s="10" t="s">
        <v>204</v>
      </c>
      <c r="O16" s="16">
        <v>0</v>
      </c>
      <c r="P16" s="12">
        <v>0</v>
      </c>
      <c r="Q16" s="12">
        <v>0</v>
      </c>
      <c r="R16" s="10" t="s">
        <v>204</v>
      </c>
      <c r="S16" s="16">
        <v>0</v>
      </c>
      <c r="T16" s="9">
        <v>0</v>
      </c>
      <c r="U16" s="9">
        <v>0</v>
      </c>
      <c r="V16" s="10" t="s">
        <v>204</v>
      </c>
      <c r="W16" s="16">
        <v>0</v>
      </c>
      <c r="X16" s="9">
        <v>0</v>
      </c>
      <c r="Y16" s="9">
        <v>0</v>
      </c>
      <c r="Z16" s="10" t="s">
        <v>204</v>
      </c>
      <c r="AA16" s="16">
        <v>0</v>
      </c>
      <c r="AB16" s="9">
        <v>0</v>
      </c>
      <c r="AC16" s="9">
        <v>0</v>
      </c>
      <c r="AD16" s="10" t="s">
        <v>204</v>
      </c>
      <c r="AE16" s="16">
        <v>0</v>
      </c>
      <c r="AF16" s="9">
        <v>0</v>
      </c>
      <c r="AG16" s="9">
        <v>0</v>
      </c>
      <c r="AH16" s="10" t="s">
        <v>204</v>
      </c>
      <c r="AI16" s="16">
        <v>0</v>
      </c>
      <c r="AJ16" s="9">
        <v>0</v>
      </c>
      <c r="AK16" s="9">
        <v>0</v>
      </c>
      <c r="AL16" s="10" t="s">
        <v>204</v>
      </c>
      <c r="AM16" s="16">
        <v>0</v>
      </c>
      <c r="AN16" s="9">
        <v>0</v>
      </c>
      <c r="AO16" s="9">
        <v>0</v>
      </c>
      <c r="AP16" s="10" t="s">
        <v>204</v>
      </c>
      <c r="AQ16" s="16">
        <v>0</v>
      </c>
      <c r="AR16" s="9">
        <v>0</v>
      </c>
      <c r="AS16" s="9">
        <v>0</v>
      </c>
      <c r="AT16" s="10" t="s">
        <v>204</v>
      </c>
      <c r="AU16" s="16">
        <v>0</v>
      </c>
      <c r="AV16" s="9">
        <v>0</v>
      </c>
      <c r="AW16" s="9">
        <v>0</v>
      </c>
      <c r="AX16" s="10" t="s">
        <v>204</v>
      </c>
      <c r="AY16" s="16">
        <v>0</v>
      </c>
      <c r="AZ16" s="9">
        <v>0</v>
      </c>
      <c r="BA16" s="9">
        <v>0</v>
      </c>
      <c r="BB16" s="10" t="s">
        <v>72</v>
      </c>
      <c r="BC16" s="12">
        <v>1000414682</v>
      </c>
      <c r="BD16" s="10" t="s">
        <v>205</v>
      </c>
    </row>
    <row r="17" spans="1:56" s="1" customFormat="1" ht="18" customHeight="1" x14ac:dyDescent="0.2">
      <c r="A17" s="12">
        <v>16</v>
      </c>
      <c r="B17" s="10" t="s">
        <v>64</v>
      </c>
      <c r="C17" s="10" t="s">
        <v>68</v>
      </c>
      <c r="D17" s="10" t="s">
        <v>79</v>
      </c>
      <c r="E17" s="10" t="s">
        <v>230</v>
      </c>
      <c r="F17" s="10"/>
      <c r="G17" s="10" t="s">
        <v>232</v>
      </c>
      <c r="H17" s="10" t="s">
        <v>74</v>
      </c>
      <c r="I17" s="12">
        <v>-1</v>
      </c>
      <c r="J17" s="16">
        <v>357.71</v>
      </c>
      <c r="K17" s="16">
        <v>-357.71</v>
      </c>
      <c r="L17" s="31">
        <v>3.714</v>
      </c>
      <c r="M17" s="16">
        <v>357.71</v>
      </c>
      <c r="N17" s="10" t="s">
        <v>204</v>
      </c>
      <c r="O17" s="16">
        <v>0</v>
      </c>
      <c r="P17" s="12">
        <v>0</v>
      </c>
      <c r="Q17" s="12">
        <v>0</v>
      </c>
      <c r="R17" s="10" t="s">
        <v>204</v>
      </c>
      <c r="S17" s="16">
        <v>0</v>
      </c>
      <c r="T17" s="9">
        <v>0</v>
      </c>
      <c r="U17" s="9">
        <v>0</v>
      </c>
      <c r="V17" s="10" t="s">
        <v>204</v>
      </c>
      <c r="W17" s="16">
        <v>0</v>
      </c>
      <c r="X17" s="9">
        <v>0</v>
      </c>
      <c r="Y17" s="9">
        <v>0</v>
      </c>
      <c r="Z17" s="10" t="s">
        <v>204</v>
      </c>
      <c r="AA17" s="16">
        <v>0</v>
      </c>
      <c r="AB17" s="9">
        <v>0</v>
      </c>
      <c r="AC17" s="9">
        <v>0</v>
      </c>
      <c r="AD17" s="10" t="s">
        <v>204</v>
      </c>
      <c r="AE17" s="16">
        <v>0</v>
      </c>
      <c r="AF17" s="9">
        <v>0</v>
      </c>
      <c r="AG17" s="9">
        <v>0</v>
      </c>
      <c r="AH17" s="10" t="s">
        <v>204</v>
      </c>
      <c r="AI17" s="16">
        <v>0</v>
      </c>
      <c r="AJ17" s="9">
        <v>0</v>
      </c>
      <c r="AK17" s="9">
        <v>0</v>
      </c>
      <c r="AL17" s="10" t="s">
        <v>204</v>
      </c>
      <c r="AM17" s="16">
        <v>0</v>
      </c>
      <c r="AN17" s="9">
        <v>0</v>
      </c>
      <c r="AO17" s="9">
        <v>0</v>
      </c>
      <c r="AP17" s="10" t="s">
        <v>204</v>
      </c>
      <c r="AQ17" s="16">
        <v>0</v>
      </c>
      <c r="AR17" s="9">
        <v>0</v>
      </c>
      <c r="AS17" s="9">
        <v>0</v>
      </c>
      <c r="AT17" s="10" t="s">
        <v>204</v>
      </c>
      <c r="AU17" s="16">
        <v>0</v>
      </c>
      <c r="AV17" s="9">
        <v>0</v>
      </c>
      <c r="AW17" s="9">
        <v>0</v>
      </c>
      <c r="AX17" s="10" t="s">
        <v>204</v>
      </c>
      <c r="AY17" s="16">
        <v>0</v>
      </c>
      <c r="AZ17" s="9">
        <v>0</v>
      </c>
      <c r="BA17" s="9">
        <v>0</v>
      </c>
      <c r="BB17" s="10" t="s">
        <v>72</v>
      </c>
      <c r="BC17" s="12">
        <v>3000025867</v>
      </c>
      <c r="BD17" s="10" t="s">
        <v>233</v>
      </c>
    </row>
    <row r="18" spans="1:56" s="1" customFormat="1" ht="18" customHeight="1" x14ac:dyDescent="0.2">
      <c r="A18" s="12">
        <v>17</v>
      </c>
      <c r="B18" s="10" t="s">
        <v>64</v>
      </c>
      <c r="C18" s="10" t="s">
        <v>68</v>
      </c>
      <c r="D18" s="10" t="s">
        <v>79</v>
      </c>
      <c r="E18" s="10" t="s">
        <v>234</v>
      </c>
      <c r="F18" s="10"/>
      <c r="G18" s="10" t="s">
        <v>235</v>
      </c>
      <c r="H18" s="10" t="s">
        <v>74</v>
      </c>
      <c r="I18" s="12">
        <v>5</v>
      </c>
      <c r="J18" s="16">
        <v>388.22</v>
      </c>
      <c r="K18" s="16">
        <v>1941.1</v>
      </c>
      <c r="L18" s="31">
        <v>3.8660000000000001</v>
      </c>
      <c r="M18" s="16">
        <v>388.22</v>
      </c>
      <c r="N18" s="10" t="s">
        <v>204</v>
      </c>
      <c r="O18" s="16">
        <v>0</v>
      </c>
      <c r="P18" s="12">
        <v>0</v>
      </c>
      <c r="Q18" s="12">
        <v>0</v>
      </c>
      <c r="R18" s="10" t="s">
        <v>204</v>
      </c>
      <c r="S18" s="16">
        <v>0</v>
      </c>
      <c r="T18" s="9">
        <v>0</v>
      </c>
      <c r="U18" s="9">
        <v>0</v>
      </c>
      <c r="V18" s="10" t="s">
        <v>204</v>
      </c>
      <c r="W18" s="16">
        <v>0</v>
      </c>
      <c r="X18" s="9">
        <v>0</v>
      </c>
      <c r="Y18" s="9">
        <v>0</v>
      </c>
      <c r="Z18" s="10" t="s">
        <v>204</v>
      </c>
      <c r="AA18" s="16">
        <v>0</v>
      </c>
      <c r="AB18" s="9">
        <v>0</v>
      </c>
      <c r="AC18" s="9">
        <v>0</v>
      </c>
      <c r="AD18" s="10" t="s">
        <v>204</v>
      </c>
      <c r="AE18" s="16">
        <v>0</v>
      </c>
      <c r="AF18" s="9">
        <v>0</v>
      </c>
      <c r="AG18" s="9">
        <v>0</v>
      </c>
      <c r="AH18" s="10" t="s">
        <v>204</v>
      </c>
      <c r="AI18" s="16">
        <v>0</v>
      </c>
      <c r="AJ18" s="9">
        <v>0</v>
      </c>
      <c r="AK18" s="9">
        <v>0</v>
      </c>
      <c r="AL18" s="10" t="s">
        <v>204</v>
      </c>
      <c r="AM18" s="16">
        <v>0</v>
      </c>
      <c r="AN18" s="9">
        <v>0</v>
      </c>
      <c r="AO18" s="9">
        <v>0</v>
      </c>
      <c r="AP18" s="10" t="s">
        <v>204</v>
      </c>
      <c r="AQ18" s="16">
        <v>0</v>
      </c>
      <c r="AR18" s="9">
        <v>0</v>
      </c>
      <c r="AS18" s="9">
        <v>0</v>
      </c>
      <c r="AT18" s="10" t="s">
        <v>204</v>
      </c>
      <c r="AU18" s="16">
        <v>0</v>
      </c>
      <c r="AV18" s="9">
        <v>0</v>
      </c>
      <c r="AW18" s="9">
        <v>0</v>
      </c>
      <c r="AX18" s="10" t="s">
        <v>204</v>
      </c>
      <c r="AY18" s="16">
        <v>0</v>
      </c>
      <c r="AZ18" s="9">
        <v>0</v>
      </c>
      <c r="BA18" s="9">
        <v>0</v>
      </c>
      <c r="BB18" s="10" t="s">
        <v>72</v>
      </c>
      <c r="BC18" s="12">
        <v>1000412314</v>
      </c>
      <c r="BD18" s="10" t="s">
        <v>205</v>
      </c>
    </row>
    <row r="19" spans="1:56" s="1" customFormat="1" ht="18" customHeight="1" x14ac:dyDescent="0.2">
      <c r="A19" s="12">
        <v>18</v>
      </c>
      <c r="B19" s="10" t="s">
        <v>64</v>
      </c>
      <c r="C19" s="10" t="s">
        <v>68</v>
      </c>
      <c r="D19" s="10" t="s">
        <v>79</v>
      </c>
      <c r="E19" s="10" t="s">
        <v>236</v>
      </c>
      <c r="F19" s="10"/>
      <c r="G19" s="10" t="s">
        <v>237</v>
      </c>
      <c r="H19" s="10" t="s">
        <v>74</v>
      </c>
      <c r="I19" s="12">
        <v>2</v>
      </c>
      <c r="J19" s="16">
        <v>372.97</v>
      </c>
      <c r="K19" s="16">
        <v>745.94</v>
      </c>
      <c r="L19" s="31">
        <v>4.0410000000000004</v>
      </c>
      <c r="M19" s="16">
        <v>372.97</v>
      </c>
      <c r="N19" s="10" t="s">
        <v>204</v>
      </c>
      <c r="O19" s="16">
        <v>0</v>
      </c>
      <c r="P19" s="12">
        <v>0</v>
      </c>
      <c r="Q19" s="12">
        <v>0</v>
      </c>
      <c r="R19" s="10" t="s">
        <v>204</v>
      </c>
      <c r="S19" s="16">
        <v>0</v>
      </c>
      <c r="T19" s="9">
        <v>0</v>
      </c>
      <c r="U19" s="9">
        <v>0</v>
      </c>
      <c r="V19" s="10" t="s">
        <v>204</v>
      </c>
      <c r="W19" s="16">
        <v>0</v>
      </c>
      <c r="X19" s="9">
        <v>0</v>
      </c>
      <c r="Y19" s="9">
        <v>0</v>
      </c>
      <c r="Z19" s="10" t="s">
        <v>204</v>
      </c>
      <c r="AA19" s="16">
        <v>0</v>
      </c>
      <c r="AB19" s="9">
        <v>0</v>
      </c>
      <c r="AC19" s="9">
        <v>0</v>
      </c>
      <c r="AD19" s="10" t="s">
        <v>204</v>
      </c>
      <c r="AE19" s="16">
        <v>0</v>
      </c>
      <c r="AF19" s="9">
        <v>0</v>
      </c>
      <c r="AG19" s="9">
        <v>0</v>
      </c>
      <c r="AH19" s="10" t="s">
        <v>204</v>
      </c>
      <c r="AI19" s="16">
        <v>0</v>
      </c>
      <c r="AJ19" s="9">
        <v>0</v>
      </c>
      <c r="AK19" s="9">
        <v>0</v>
      </c>
      <c r="AL19" s="10" t="s">
        <v>204</v>
      </c>
      <c r="AM19" s="16">
        <v>0</v>
      </c>
      <c r="AN19" s="9">
        <v>0</v>
      </c>
      <c r="AO19" s="9">
        <v>0</v>
      </c>
      <c r="AP19" s="10" t="s">
        <v>204</v>
      </c>
      <c r="AQ19" s="16">
        <v>0</v>
      </c>
      <c r="AR19" s="9">
        <v>0</v>
      </c>
      <c r="AS19" s="9">
        <v>0</v>
      </c>
      <c r="AT19" s="10" t="s">
        <v>204</v>
      </c>
      <c r="AU19" s="16">
        <v>0</v>
      </c>
      <c r="AV19" s="9">
        <v>0</v>
      </c>
      <c r="AW19" s="9">
        <v>0</v>
      </c>
      <c r="AX19" s="10" t="s">
        <v>204</v>
      </c>
      <c r="AY19" s="16">
        <v>0</v>
      </c>
      <c r="AZ19" s="9">
        <v>0</v>
      </c>
      <c r="BA19" s="9">
        <v>0</v>
      </c>
      <c r="BB19" s="10" t="s">
        <v>72</v>
      </c>
      <c r="BC19" s="12">
        <v>1000410428</v>
      </c>
      <c r="BD19" s="10" t="s">
        <v>205</v>
      </c>
    </row>
    <row r="20" spans="1:56" s="1" customFormat="1" ht="18" customHeight="1" x14ac:dyDescent="0.2">
      <c r="A20" s="12">
        <v>19</v>
      </c>
      <c r="B20" s="10" t="s">
        <v>64</v>
      </c>
      <c r="C20" s="10" t="s">
        <v>68</v>
      </c>
      <c r="D20" s="10" t="s">
        <v>79</v>
      </c>
      <c r="E20" s="10" t="s">
        <v>238</v>
      </c>
      <c r="F20" s="10"/>
      <c r="G20" s="10" t="s">
        <v>239</v>
      </c>
      <c r="H20" s="10" t="s">
        <v>74</v>
      </c>
      <c r="I20" s="12">
        <v>7</v>
      </c>
      <c r="J20" s="16">
        <v>372.97</v>
      </c>
      <c r="K20" s="16">
        <v>2610.79</v>
      </c>
      <c r="L20" s="31">
        <v>4.0309999999999997</v>
      </c>
      <c r="M20" s="16">
        <v>372.97</v>
      </c>
      <c r="N20" s="10" t="s">
        <v>204</v>
      </c>
      <c r="O20" s="16">
        <v>0</v>
      </c>
      <c r="P20" s="12">
        <v>0</v>
      </c>
      <c r="Q20" s="12">
        <v>0</v>
      </c>
      <c r="R20" s="10" t="s">
        <v>204</v>
      </c>
      <c r="S20" s="16">
        <v>0</v>
      </c>
      <c r="T20" s="9">
        <v>0</v>
      </c>
      <c r="U20" s="9">
        <v>0</v>
      </c>
      <c r="V20" s="10" t="s">
        <v>204</v>
      </c>
      <c r="W20" s="16">
        <v>0</v>
      </c>
      <c r="X20" s="9">
        <v>0</v>
      </c>
      <c r="Y20" s="9">
        <v>0</v>
      </c>
      <c r="Z20" s="10" t="s">
        <v>204</v>
      </c>
      <c r="AA20" s="16">
        <v>0</v>
      </c>
      <c r="AB20" s="9">
        <v>0</v>
      </c>
      <c r="AC20" s="9">
        <v>0</v>
      </c>
      <c r="AD20" s="10" t="s">
        <v>204</v>
      </c>
      <c r="AE20" s="16">
        <v>0</v>
      </c>
      <c r="AF20" s="9">
        <v>0</v>
      </c>
      <c r="AG20" s="9">
        <v>0</v>
      </c>
      <c r="AH20" s="10" t="s">
        <v>204</v>
      </c>
      <c r="AI20" s="16">
        <v>0</v>
      </c>
      <c r="AJ20" s="9">
        <v>0</v>
      </c>
      <c r="AK20" s="9">
        <v>0</v>
      </c>
      <c r="AL20" s="10" t="s">
        <v>204</v>
      </c>
      <c r="AM20" s="16">
        <v>0</v>
      </c>
      <c r="AN20" s="9">
        <v>0</v>
      </c>
      <c r="AO20" s="9">
        <v>0</v>
      </c>
      <c r="AP20" s="10" t="s">
        <v>204</v>
      </c>
      <c r="AQ20" s="16">
        <v>0</v>
      </c>
      <c r="AR20" s="9">
        <v>0</v>
      </c>
      <c r="AS20" s="9">
        <v>0</v>
      </c>
      <c r="AT20" s="10" t="s">
        <v>204</v>
      </c>
      <c r="AU20" s="16">
        <v>0</v>
      </c>
      <c r="AV20" s="9">
        <v>0</v>
      </c>
      <c r="AW20" s="9">
        <v>0</v>
      </c>
      <c r="AX20" s="10" t="s">
        <v>204</v>
      </c>
      <c r="AY20" s="16">
        <v>0</v>
      </c>
      <c r="AZ20" s="9">
        <v>0</v>
      </c>
      <c r="BA20" s="9">
        <v>0</v>
      </c>
      <c r="BB20" s="10" t="s">
        <v>72</v>
      </c>
      <c r="BC20" s="12">
        <v>1000410826</v>
      </c>
      <c r="BD20" s="10" t="s">
        <v>205</v>
      </c>
    </row>
    <row r="21" spans="1:56" s="1" customFormat="1" ht="18" customHeight="1" x14ac:dyDescent="0.2">
      <c r="A21" s="12">
        <v>20</v>
      </c>
      <c r="B21" s="10" t="s">
        <v>64</v>
      </c>
      <c r="C21" s="10" t="s">
        <v>68</v>
      </c>
      <c r="D21" s="10" t="s">
        <v>79</v>
      </c>
      <c r="E21" s="10" t="s">
        <v>238</v>
      </c>
      <c r="F21" s="10" t="s">
        <v>240</v>
      </c>
      <c r="G21" s="10" t="s">
        <v>241</v>
      </c>
      <c r="H21" s="10" t="s">
        <v>74</v>
      </c>
      <c r="I21" s="12">
        <v>8</v>
      </c>
      <c r="J21" s="16">
        <v>372.97</v>
      </c>
      <c r="K21" s="16">
        <v>2983.76</v>
      </c>
      <c r="L21" s="31">
        <v>4.0309999999999997</v>
      </c>
      <c r="M21" s="16">
        <v>372.97</v>
      </c>
      <c r="N21" s="10" t="s">
        <v>204</v>
      </c>
      <c r="O21" s="16">
        <v>0</v>
      </c>
      <c r="P21" s="12">
        <v>0</v>
      </c>
      <c r="Q21" s="12">
        <v>0</v>
      </c>
      <c r="R21" s="10" t="s">
        <v>204</v>
      </c>
      <c r="S21" s="16">
        <v>0</v>
      </c>
      <c r="T21" s="9">
        <v>0</v>
      </c>
      <c r="U21" s="9">
        <v>0</v>
      </c>
      <c r="V21" s="10" t="s">
        <v>204</v>
      </c>
      <c r="W21" s="16">
        <v>0</v>
      </c>
      <c r="X21" s="9">
        <v>0</v>
      </c>
      <c r="Y21" s="9">
        <v>0</v>
      </c>
      <c r="Z21" s="10" t="s">
        <v>204</v>
      </c>
      <c r="AA21" s="16">
        <v>0</v>
      </c>
      <c r="AB21" s="9">
        <v>0</v>
      </c>
      <c r="AC21" s="9">
        <v>0</v>
      </c>
      <c r="AD21" s="10" t="s">
        <v>204</v>
      </c>
      <c r="AE21" s="16">
        <v>0</v>
      </c>
      <c r="AF21" s="9">
        <v>0</v>
      </c>
      <c r="AG21" s="9">
        <v>0</v>
      </c>
      <c r="AH21" s="10" t="s">
        <v>204</v>
      </c>
      <c r="AI21" s="16">
        <v>0</v>
      </c>
      <c r="AJ21" s="9">
        <v>0</v>
      </c>
      <c r="AK21" s="9">
        <v>0</v>
      </c>
      <c r="AL21" s="10" t="s">
        <v>204</v>
      </c>
      <c r="AM21" s="16">
        <v>0</v>
      </c>
      <c r="AN21" s="9">
        <v>0</v>
      </c>
      <c r="AO21" s="9">
        <v>0</v>
      </c>
      <c r="AP21" s="10" t="s">
        <v>204</v>
      </c>
      <c r="AQ21" s="16">
        <v>0</v>
      </c>
      <c r="AR21" s="9">
        <v>0</v>
      </c>
      <c r="AS21" s="9">
        <v>0</v>
      </c>
      <c r="AT21" s="10" t="s">
        <v>204</v>
      </c>
      <c r="AU21" s="16">
        <v>0</v>
      </c>
      <c r="AV21" s="9">
        <v>0</v>
      </c>
      <c r="AW21" s="9">
        <v>0</v>
      </c>
      <c r="AX21" s="10" t="s">
        <v>204</v>
      </c>
      <c r="AY21" s="16">
        <v>0</v>
      </c>
      <c r="AZ21" s="9">
        <v>0</v>
      </c>
      <c r="BA21" s="9">
        <v>0</v>
      </c>
      <c r="BB21" s="10" t="s">
        <v>72</v>
      </c>
      <c r="BC21" s="12">
        <v>1000410134</v>
      </c>
      <c r="BD21" s="10" t="s">
        <v>205</v>
      </c>
    </row>
    <row r="22" spans="1:56" s="1" customFormat="1" ht="18" customHeight="1" x14ac:dyDescent="0.2">
      <c r="A22" s="12">
        <v>21</v>
      </c>
      <c r="B22" s="10" t="s">
        <v>64</v>
      </c>
      <c r="C22" s="10" t="s">
        <v>68</v>
      </c>
      <c r="D22" s="10" t="s">
        <v>79</v>
      </c>
      <c r="E22" s="10" t="s">
        <v>238</v>
      </c>
      <c r="F22" s="10" t="s">
        <v>242</v>
      </c>
      <c r="G22" s="10" t="s">
        <v>243</v>
      </c>
      <c r="H22" s="10" t="s">
        <v>74</v>
      </c>
      <c r="I22" s="12">
        <v>8</v>
      </c>
      <c r="J22" s="16">
        <v>372.97</v>
      </c>
      <c r="K22" s="16">
        <v>2983.76</v>
      </c>
      <c r="L22" s="31">
        <v>4.0309999999999997</v>
      </c>
      <c r="M22" s="16">
        <v>372.97</v>
      </c>
      <c r="N22" s="10" t="s">
        <v>204</v>
      </c>
      <c r="O22" s="16">
        <v>0</v>
      </c>
      <c r="P22" s="12">
        <v>0</v>
      </c>
      <c r="Q22" s="12">
        <v>0</v>
      </c>
      <c r="R22" s="10" t="s">
        <v>204</v>
      </c>
      <c r="S22" s="16">
        <v>0</v>
      </c>
      <c r="T22" s="9">
        <v>0</v>
      </c>
      <c r="U22" s="9">
        <v>0</v>
      </c>
      <c r="V22" s="10" t="s">
        <v>204</v>
      </c>
      <c r="W22" s="16">
        <v>0</v>
      </c>
      <c r="X22" s="9">
        <v>0</v>
      </c>
      <c r="Y22" s="9">
        <v>0</v>
      </c>
      <c r="Z22" s="10" t="s">
        <v>204</v>
      </c>
      <c r="AA22" s="16">
        <v>0</v>
      </c>
      <c r="AB22" s="9">
        <v>0</v>
      </c>
      <c r="AC22" s="9">
        <v>0</v>
      </c>
      <c r="AD22" s="10" t="s">
        <v>204</v>
      </c>
      <c r="AE22" s="16">
        <v>0</v>
      </c>
      <c r="AF22" s="9">
        <v>0</v>
      </c>
      <c r="AG22" s="9">
        <v>0</v>
      </c>
      <c r="AH22" s="10" t="s">
        <v>204</v>
      </c>
      <c r="AI22" s="16">
        <v>0</v>
      </c>
      <c r="AJ22" s="9">
        <v>0</v>
      </c>
      <c r="AK22" s="9">
        <v>0</v>
      </c>
      <c r="AL22" s="10" t="s">
        <v>204</v>
      </c>
      <c r="AM22" s="16">
        <v>0</v>
      </c>
      <c r="AN22" s="9">
        <v>0</v>
      </c>
      <c r="AO22" s="9">
        <v>0</v>
      </c>
      <c r="AP22" s="10" t="s">
        <v>204</v>
      </c>
      <c r="AQ22" s="16">
        <v>0</v>
      </c>
      <c r="AR22" s="9">
        <v>0</v>
      </c>
      <c r="AS22" s="9">
        <v>0</v>
      </c>
      <c r="AT22" s="10" t="s">
        <v>204</v>
      </c>
      <c r="AU22" s="16">
        <v>0</v>
      </c>
      <c r="AV22" s="9">
        <v>0</v>
      </c>
      <c r="AW22" s="9">
        <v>0</v>
      </c>
      <c r="AX22" s="10" t="s">
        <v>204</v>
      </c>
      <c r="AY22" s="16">
        <v>0</v>
      </c>
      <c r="AZ22" s="9">
        <v>0</v>
      </c>
      <c r="BA22" s="9">
        <v>0</v>
      </c>
      <c r="BB22" s="10" t="s">
        <v>72</v>
      </c>
      <c r="BC22" s="12">
        <v>1000410406</v>
      </c>
      <c r="BD22" s="10" t="s">
        <v>205</v>
      </c>
    </row>
    <row r="23" spans="1:56" s="1" customFormat="1" ht="18" customHeight="1" x14ac:dyDescent="0.2">
      <c r="A23" s="12">
        <v>22</v>
      </c>
      <c r="B23" s="10" t="s">
        <v>64</v>
      </c>
      <c r="C23" s="10" t="s">
        <v>68</v>
      </c>
      <c r="D23" s="10" t="s">
        <v>79</v>
      </c>
      <c r="E23" s="10" t="s">
        <v>244</v>
      </c>
      <c r="F23" s="10" t="s">
        <v>245</v>
      </c>
      <c r="G23" s="10" t="s">
        <v>246</v>
      </c>
      <c r="H23" s="10" t="s">
        <v>74</v>
      </c>
      <c r="I23" s="12">
        <v>10</v>
      </c>
      <c r="J23" s="16">
        <v>372.97</v>
      </c>
      <c r="K23" s="16">
        <v>3729.7</v>
      </c>
      <c r="L23" s="31">
        <v>4.1109999999999998</v>
      </c>
      <c r="M23" s="16">
        <v>372.97</v>
      </c>
      <c r="N23" s="10" t="s">
        <v>204</v>
      </c>
      <c r="O23" s="16">
        <v>0</v>
      </c>
      <c r="P23" s="12">
        <v>0</v>
      </c>
      <c r="Q23" s="12">
        <v>0</v>
      </c>
      <c r="R23" s="10" t="s">
        <v>204</v>
      </c>
      <c r="S23" s="16">
        <v>0</v>
      </c>
      <c r="T23" s="9">
        <v>0</v>
      </c>
      <c r="U23" s="9">
        <v>0</v>
      </c>
      <c r="V23" s="10" t="s">
        <v>204</v>
      </c>
      <c r="W23" s="16">
        <v>0</v>
      </c>
      <c r="X23" s="9">
        <v>0</v>
      </c>
      <c r="Y23" s="9">
        <v>0</v>
      </c>
      <c r="Z23" s="10" t="s">
        <v>204</v>
      </c>
      <c r="AA23" s="16">
        <v>0</v>
      </c>
      <c r="AB23" s="9">
        <v>0</v>
      </c>
      <c r="AC23" s="9">
        <v>0</v>
      </c>
      <c r="AD23" s="10" t="s">
        <v>204</v>
      </c>
      <c r="AE23" s="16">
        <v>0</v>
      </c>
      <c r="AF23" s="9">
        <v>0</v>
      </c>
      <c r="AG23" s="9">
        <v>0</v>
      </c>
      <c r="AH23" s="10" t="s">
        <v>204</v>
      </c>
      <c r="AI23" s="16">
        <v>0</v>
      </c>
      <c r="AJ23" s="9">
        <v>0</v>
      </c>
      <c r="AK23" s="9">
        <v>0</v>
      </c>
      <c r="AL23" s="10" t="s">
        <v>204</v>
      </c>
      <c r="AM23" s="16">
        <v>0</v>
      </c>
      <c r="AN23" s="9">
        <v>0</v>
      </c>
      <c r="AO23" s="9">
        <v>0</v>
      </c>
      <c r="AP23" s="10" t="s">
        <v>204</v>
      </c>
      <c r="AQ23" s="16">
        <v>0</v>
      </c>
      <c r="AR23" s="9">
        <v>0</v>
      </c>
      <c r="AS23" s="9">
        <v>0</v>
      </c>
      <c r="AT23" s="10" t="s">
        <v>204</v>
      </c>
      <c r="AU23" s="16">
        <v>0</v>
      </c>
      <c r="AV23" s="9">
        <v>0</v>
      </c>
      <c r="AW23" s="9">
        <v>0</v>
      </c>
      <c r="AX23" s="10" t="s">
        <v>204</v>
      </c>
      <c r="AY23" s="16">
        <v>0</v>
      </c>
      <c r="AZ23" s="9">
        <v>0</v>
      </c>
      <c r="BA23" s="9">
        <v>0</v>
      </c>
      <c r="BB23" s="10" t="s">
        <v>72</v>
      </c>
      <c r="BC23" s="12">
        <v>1000409085</v>
      </c>
      <c r="BD23" s="10" t="s">
        <v>205</v>
      </c>
    </row>
    <row r="24" spans="1:56" s="1" customFormat="1" ht="18" customHeight="1" x14ac:dyDescent="0.2">
      <c r="A24" s="12">
        <v>23</v>
      </c>
      <c r="B24" s="10" t="s">
        <v>64</v>
      </c>
      <c r="C24" s="10" t="s">
        <v>68</v>
      </c>
      <c r="D24" s="10" t="s">
        <v>79</v>
      </c>
      <c r="E24" s="10" t="s">
        <v>247</v>
      </c>
      <c r="F24" s="10"/>
      <c r="G24" s="10" t="s">
        <v>248</v>
      </c>
      <c r="H24" s="10" t="s">
        <v>74</v>
      </c>
      <c r="I24" s="12">
        <v>5</v>
      </c>
      <c r="J24" s="16">
        <v>327.2</v>
      </c>
      <c r="K24" s="16">
        <v>1636</v>
      </c>
      <c r="L24" s="31">
        <v>3.6960000000000002</v>
      </c>
      <c r="M24" s="16">
        <v>327.2</v>
      </c>
      <c r="N24" s="10" t="s">
        <v>204</v>
      </c>
      <c r="O24" s="16">
        <v>0</v>
      </c>
      <c r="P24" s="12">
        <v>0</v>
      </c>
      <c r="Q24" s="12">
        <v>0</v>
      </c>
      <c r="R24" s="10" t="s">
        <v>204</v>
      </c>
      <c r="S24" s="16">
        <v>0</v>
      </c>
      <c r="T24" s="9">
        <v>0</v>
      </c>
      <c r="U24" s="9">
        <v>0</v>
      </c>
      <c r="V24" s="10" t="s">
        <v>204</v>
      </c>
      <c r="W24" s="16">
        <v>0</v>
      </c>
      <c r="X24" s="9">
        <v>0</v>
      </c>
      <c r="Y24" s="9">
        <v>0</v>
      </c>
      <c r="Z24" s="10" t="s">
        <v>204</v>
      </c>
      <c r="AA24" s="16">
        <v>0</v>
      </c>
      <c r="AB24" s="9">
        <v>0</v>
      </c>
      <c r="AC24" s="9">
        <v>0</v>
      </c>
      <c r="AD24" s="10" t="s">
        <v>204</v>
      </c>
      <c r="AE24" s="16">
        <v>0</v>
      </c>
      <c r="AF24" s="9">
        <v>0</v>
      </c>
      <c r="AG24" s="9">
        <v>0</v>
      </c>
      <c r="AH24" s="10" t="s">
        <v>204</v>
      </c>
      <c r="AI24" s="16">
        <v>0</v>
      </c>
      <c r="AJ24" s="9">
        <v>0</v>
      </c>
      <c r="AK24" s="9">
        <v>0</v>
      </c>
      <c r="AL24" s="10" t="s">
        <v>204</v>
      </c>
      <c r="AM24" s="16">
        <v>0</v>
      </c>
      <c r="AN24" s="9">
        <v>0</v>
      </c>
      <c r="AO24" s="9">
        <v>0</v>
      </c>
      <c r="AP24" s="10" t="s">
        <v>204</v>
      </c>
      <c r="AQ24" s="16">
        <v>0</v>
      </c>
      <c r="AR24" s="9">
        <v>0</v>
      </c>
      <c r="AS24" s="9">
        <v>0</v>
      </c>
      <c r="AT24" s="10" t="s">
        <v>204</v>
      </c>
      <c r="AU24" s="16">
        <v>0</v>
      </c>
      <c r="AV24" s="9">
        <v>0</v>
      </c>
      <c r="AW24" s="9">
        <v>0</v>
      </c>
      <c r="AX24" s="10" t="s">
        <v>204</v>
      </c>
      <c r="AY24" s="16">
        <v>0</v>
      </c>
      <c r="AZ24" s="9">
        <v>0</v>
      </c>
      <c r="BA24" s="9">
        <v>0</v>
      </c>
      <c r="BB24" s="10" t="s">
        <v>72</v>
      </c>
      <c r="BC24" s="12">
        <v>1000403660</v>
      </c>
      <c r="BD24" s="10" t="s">
        <v>205</v>
      </c>
    </row>
    <row r="25" spans="1:56" s="1" customFormat="1" ht="18" customHeight="1" x14ac:dyDescent="0.2">
      <c r="A25" s="12">
        <v>24</v>
      </c>
      <c r="B25" s="10" t="s">
        <v>64</v>
      </c>
      <c r="C25" s="10" t="s">
        <v>68</v>
      </c>
      <c r="D25" s="10" t="s">
        <v>79</v>
      </c>
      <c r="E25" s="10" t="s">
        <v>249</v>
      </c>
      <c r="F25" s="10"/>
      <c r="G25" s="10" t="s">
        <v>250</v>
      </c>
      <c r="H25" s="10" t="s">
        <v>74</v>
      </c>
      <c r="I25" s="12">
        <v>3</v>
      </c>
      <c r="J25" s="16">
        <v>334.83</v>
      </c>
      <c r="K25" s="16">
        <v>1004.49</v>
      </c>
      <c r="L25" s="31">
        <v>3.6520000000000001</v>
      </c>
      <c r="M25" s="16">
        <v>334.83</v>
      </c>
      <c r="N25" s="10" t="s">
        <v>204</v>
      </c>
      <c r="O25" s="16">
        <v>0</v>
      </c>
      <c r="P25" s="12">
        <v>0</v>
      </c>
      <c r="Q25" s="12">
        <v>0</v>
      </c>
      <c r="R25" s="10" t="s">
        <v>204</v>
      </c>
      <c r="S25" s="16">
        <v>0</v>
      </c>
      <c r="T25" s="9">
        <v>0</v>
      </c>
      <c r="U25" s="9">
        <v>0</v>
      </c>
      <c r="V25" s="10" t="s">
        <v>204</v>
      </c>
      <c r="W25" s="16">
        <v>0</v>
      </c>
      <c r="X25" s="9">
        <v>0</v>
      </c>
      <c r="Y25" s="9">
        <v>0</v>
      </c>
      <c r="Z25" s="10" t="s">
        <v>204</v>
      </c>
      <c r="AA25" s="16">
        <v>0</v>
      </c>
      <c r="AB25" s="9">
        <v>0</v>
      </c>
      <c r="AC25" s="9">
        <v>0</v>
      </c>
      <c r="AD25" s="10" t="s">
        <v>204</v>
      </c>
      <c r="AE25" s="16">
        <v>0</v>
      </c>
      <c r="AF25" s="9">
        <v>0</v>
      </c>
      <c r="AG25" s="9">
        <v>0</v>
      </c>
      <c r="AH25" s="10" t="s">
        <v>204</v>
      </c>
      <c r="AI25" s="16">
        <v>0</v>
      </c>
      <c r="AJ25" s="9">
        <v>0</v>
      </c>
      <c r="AK25" s="9">
        <v>0</v>
      </c>
      <c r="AL25" s="10" t="s">
        <v>204</v>
      </c>
      <c r="AM25" s="16">
        <v>0</v>
      </c>
      <c r="AN25" s="9">
        <v>0</v>
      </c>
      <c r="AO25" s="9">
        <v>0</v>
      </c>
      <c r="AP25" s="10" t="s">
        <v>204</v>
      </c>
      <c r="AQ25" s="16">
        <v>0</v>
      </c>
      <c r="AR25" s="9">
        <v>0</v>
      </c>
      <c r="AS25" s="9">
        <v>0</v>
      </c>
      <c r="AT25" s="10" t="s">
        <v>204</v>
      </c>
      <c r="AU25" s="16">
        <v>0</v>
      </c>
      <c r="AV25" s="9">
        <v>0</v>
      </c>
      <c r="AW25" s="9">
        <v>0</v>
      </c>
      <c r="AX25" s="10" t="s">
        <v>204</v>
      </c>
      <c r="AY25" s="16">
        <v>0</v>
      </c>
      <c r="AZ25" s="9">
        <v>0</v>
      </c>
      <c r="BA25" s="9">
        <v>0</v>
      </c>
      <c r="BB25" s="10" t="s">
        <v>72</v>
      </c>
      <c r="BC25" s="12">
        <v>1000401569</v>
      </c>
      <c r="BD25" s="10" t="s">
        <v>205</v>
      </c>
    </row>
    <row r="26" spans="1:56" s="1" customFormat="1" ht="18" customHeight="1" x14ac:dyDescent="0.2">
      <c r="A26" s="12">
        <v>25</v>
      </c>
      <c r="B26" s="10" t="s">
        <v>64</v>
      </c>
      <c r="C26" s="10" t="s">
        <v>68</v>
      </c>
      <c r="D26" s="10" t="s">
        <v>79</v>
      </c>
      <c r="E26" s="10" t="s">
        <v>249</v>
      </c>
      <c r="F26" s="10"/>
      <c r="G26" s="10" t="s">
        <v>250</v>
      </c>
      <c r="H26" s="10" t="s">
        <v>74</v>
      </c>
      <c r="I26" s="12">
        <v>10</v>
      </c>
      <c r="J26" s="16">
        <v>334.83</v>
      </c>
      <c r="K26" s="16">
        <v>3348.3</v>
      </c>
      <c r="L26" s="31">
        <v>3.6520000000000001</v>
      </c>
      <c r="M26" s="16">
        <v>334.83</v>
      </c>
      <c r="N26" s="10" t="s">
        <v>204</v>
      </c>
      <c r="O26" s="16">
        <v>0</v>
      </c>
      <c r="P26" s="12">
        <v>0</v>
      </c>
      <c r="Q26" s="12">
        <v>0</v>
      </c>
      <c r="R26" s="10" t="s">
        <v>204</v>
      </c>
      <c r="S26" s="16">
        <v>0</v>
      </c>
      <c r="T26" s="9">
        <v>0</v>
      </c>
      <c r="U26" s="9">
        <v>0</v>
      </c>
      <c r="V26" s="10" t="s">
        <v>204</v>
      </c>
      <c r="W26" s="16">
        <v>0</v>
      </c>
      <c r="X26" s="9">
        <v>0</v>
      </c>
      <c r="Y26" s="9">
        <v>0</v>
      </c>
      <c r="Z26" s="10" t="s">
        <v>204</v>
      </c>
      <c r="AA26" s="16">
        <v>0</v>
      </c>
      <c r="AB26" s="9">
        <v>0</v>
      </c>
      <c r="AC26" s="9">
        <v>0</v>
      </c>
      <c r="AD26" s="10" t="s">
        <v>204</v>
      </c>
      <c r="AE26" s="16">
        <v>0</v>
      </c>
      <c r="AF26" s="9">
        <v>0</v>
      </c>
      <c r="AG26" s="9">
        <v>0</v>
      </c>
      <c r="AH26" s="10" t="s">
        <v>204</v>
      </c>
      <c r="AI26" s="16">
        <v>0</v>
      </c>
      <c r="AJ26" s="9">
        <v>0</v>
      </c>
      <c r="AK26" s="9">
        <v>0</v>
      </c>
      <c r="AL26" s="10" t="s">
        <v>204</v>
      </c>
      <c r="AM26" s="16">
        <v>0</v>
      </c>
      <c r="AN26" s="9">
        <v>0</v>
      </c>
      <c r="AO26" s="9">
        <v>0</v>
      </c>
      <c r="AP26" s="10" t="s">
        <v>204</v>
      </c>
      <c r="AQ26" s="16">
        <v>0</v>
      </c>
      <c r="AR26" s="9">
        <v>0</v>
      </c>
      <c r="AS26" s="9">
        <v>0</v>
      </c>
      <c r="AT26" s="10" t="s">
        <v>204</v>
      </c>
      <c r="AU26" s="16">
        <v>0</v>
      </c>
      <c r="AV26" s="9">
        <v>0</v>
      </c>
      <c r="AW26" s="9">
        <v>0</v>
      </c>
      <c r="AX26" s="10" t="s">
        <v>204</v>
      </c>
      <c r="AY26" s="16">
        <v>0</v>
      </c>
      <c r="AZ26" s="9">
        <v>0</v>
      </c>
      <c r="BA26" s="9">
        <v>0</v>
      </c>
      <c r="BB26" s="10" t="s">
        <v>72</v>
      </c>
      <c r="BC26" s="12">
        <v>1000401573</v>
      </c>
      <c r="BD26" s="10" t="s">
        <v>205</v>
      </c>
    </row>
    <row r="27" spans="1:56" s="1" customFormat="1" ht="18" customHeight="1" x14ac:dyDescent="0.2">
      <c r="A27" s="12">
        <v>26</v>
      </c>
      <c r="B27" s="10" t="s">
        <v>64</v>
      </c>
      <c r="C27" s="10" t="s">
        <v>68</v>
      </c>
      <c r="D27" s="10" t="s">
        <v>79</v>
      </c>
      <c r="E27" s="10" t="s">
        <v>251</v>
      </c>
      <c r="F27" s="10"/>
      <c r="G27" s="10" t="s">
        <v>250</v>
      </c>
      <c r="H27" s="10" t="s">
        <v>74</v>
      </c>
      <c r="I27" s="12">
        <v>2</v>
      </c>
      <c r="J27" s="16">
        <v>334.83</v>
      </c>
      <c r="K27" s="16">
        <v>669.66</v>
      </c>
      <c r="L27" s="31">
        <v>3.6549999999999998</v>
      </c>
      <c r="M27" s="16">
        <v>334.83</v>
      </c>
      <c r="N27" s="10" t="s">
        <v>204</v>
      </c>
      <c r="O27" s="16">
        <v>0</v>
      </c>
      <c r="P27" s="12">
        <v>0</v>
      </c>
      <c r="Q27" s="12">
        <v>0</v>
      </c>
      <c r="R27" s="10" t="s">
        <v>204</v>
      </c>
      <c r="S27" s="16">
        <v>0</v>
      </c>
      <c r="T27" s="9">
        <v>0</v>
      </c>
      <c r="U27" s="9">
        <v>0</v>
      </c>
      <c r="V27" s="10" t="s">
        <v>204</v>
      </c>
      <c r="W27" s="16">
        <v>0</v>
      </c>
      <c r="X27" s="9">
        <v>0</v>
      </c>
      <c r="Y27" s="9">
        <v>0</v>
      </c>
      <c r="Z27" s="10" t="s">
        <v>204</v>
      </c>
      <c r="AA27" s="16">
        <v>0</v>
      </c>
      <c r="AB27" s="9">
        <v>0</v>
      </c>
      <c r="AC27" s="9">
        <v>0</v>
      </c>
      <c r="AD27" s="10" t="s">
        <v>204</v>
      </c>
      <c r="AE27" s="16">
        <v>0</v>
      </c>
      <c r="AF27" s="9">
        <v>0</v>
      </c>
      <c r="AG27" s="9">
        <v>0</v>
      </c>
      <c r="AH27" s="10" t="s">
        <v>204</v>
      </c>
      <c r="AI27" s="16">
        <v>0</v>
      </c>
      <c r="AJ27" s="9">
        <v>0</v>
      </c>
      <c r="AK27" s="9">
        <v>0</v>
      </c>
      <c r="AL27" s="10" t="s">
        <v>204</v>
      </c>
      <c r="AM27" s="16">
        <v>0</v>
      </c>
      <c r="AN27" s="9">
        <v>0</v>
      </c>
      <c r="AO27" s="9">
        <v>0</v>
      </c>
      <c r="AP27" s="10" t="s">
        <v>204</v>
      </c>
      <c r="AQ27" s="16">
        <v>0</v>
      </c>
      <c r="AR27" s="9">
        <v>0</v>
      </c>
      <c r="AS27" s="9">
        <v>0</v>
      </c>
      <c r="AT27" s="10" t="s">
        <v>204</v>
      </c>
      <c r="AU27" s="16">
        <v>0</v>
      </c>
      <c r="AV27" s="9">
        <v>0</v>
      </c>
      <c r="AW27" s="9">
        <v>0</v>
      </c>
      <c r="AX27" s="10" t="s">
        <v>204</v>
      </c>
      <c r="AY27" s="16">
        <v>0</v>
      </c>
      <c r="AZ27" s="9">
        <v>0</v>
      </c>
      <c r="BA27" s="9">
        <v>0</v>
      </c>
      <c r="BB27" s="10" t="s">
        <v>72</v>
      </c>
      <c r="BC27" s="12">
        <v>1000401647</v>
      </c>
      <c r="BD27" s="10" t="s">
        <v>205</v>
      </c>
    </row>
    <row r="28" spans="1:56" s="1" customFormat="1" ht="18" customHeight="1" x14ac:dyDescent="0.2">
      <c r="A28" s="12">
        <v>27</v>
      </c>
      <c r="B28" s="10" t="s">
        <v>64</v>
      </c>
      <c r="C28" s="10" t="s">
        <v>68</v>
      </c>
      <c r="D28" s="10" t="s">
        <v>79</v>
      </c>
      <c r="E28" s="10" t="s">
        <v>252</v>
      </c>
      <c r="F28" s="10" t="s">
        <v>253</v>
      </c>
      <c r="G28" s="10" t="s">
        <v>254</v>
      </c>
      <c r="H28" s="10" t="s">
        <v>74</v>
      </c>
      <c r="I28" s="12">
        <v>1</v>
      </c>
      <c r="J28" s="16">
        <v>327.2</v>
      </c>
      <c r="K28" s="16">
        <v>327.2</v>
      </c>
      <c r="L28" s="31">
        <v>3.6139999999999999</v>
      </c>
      <c r="M28" s="16">
        <v>327.2</v>
      </c>
      <c r="N28" s="10" t="s">
        <v>204</v>
      </c>
      <c r="O28" s="16">
        <v>0</v>
      </c>
      <c r="P28" s="12">
        <v>0</v>
      </c>
      <c r="Q28" s="12">
        <v>0</v>
      </c>
      <c r="R28" s="10" t="s">
        <v>204</v>
      </c>
      <c r="S28" s="16">
        <v>0</v>
      </c>
      <c r="T28" s="9">
        <v>0</v>
      </c>
      <c r="U28" s="9">
        <v>0</v>
      </c>
      <c r="V28" s="10" t="s">
        <v>204</v>
      </c>
      <c r="W28" s="16">
        <v>0</v>
      </c>
      <c r="X28" s="9">
        <v>0</v>
      </c>
      <c r="Y28" s="9">
        <v>0</v>
      </c>
      <c r="Z28" s="10" t="s">
        <v>204</v>
      </c>
      <c r="AA28" s="16">
        <v>0</v>
      </c>
      <c r="AB28" s="9">
        <v>0</v>
      </c>
      <c r="AC28" s="9">
        <v>0</v>
      </c>
      <c r="AD28" s="10" t="s">
        <v>204</v>
      </c>
      <c r="AE28" s="16">
        <v>0</v>
      </c>
      <c r="AF28" s="9">
        <v>0</v>
      </c>
      <c r="AG28" s="9">
        <v>0</v>
      </c>
      <c r="AH28" s="10" t="s">
        <v>204</v>
      </c>
      <c r="AI28" s="16">
        <v>0</v>
      </c>
      <c r="AJ28" s="9">
        <v>0</v>
      </c>
      <c r="AK28" s="9">
        <v>0</v>
      </c>
      <c r="AL28" s="10" t="s">
        <v>204</v>
      </c>
      <c r="AM28" s="16">
        <v>0</v>
      </c>
      <c r="AN28" s="9">
        <v>0</v>
      </c>
      <c r="AO28" s="9">
        <v>0</v>
      </c>
      <c r="AP28" s="10" t="s">
        <v>204</v>
      </c>
      <c r="AQ28" s="16">
        <v>0</v>
      </c>
      <c r="AR28" s="9">
        <v>0</v>
      </c>
      <c r="AS28" s="9">
        <v>0</v>
      </c>
      <c r="AT28" s="10" t="s">
        <v>204</v>
      </c>
      <c r="AU28" s="16">
        <v>0</v>
      </c>
      <c r="AV28" s="9">
        <v>0</v>
      </c>
      <c r="AW28" s="9">
        <v>0</v>
      </c>
      <c r="AX28" s="10" t="s">
        <v>204</v>
      </c>
      <c r="AY28" s="16">
        <v>0</v>
      </c>
      <c r="AZ28" s="9">
        <v>0</v>
      </c>
      <c r="BA28" s="9">
        <v>0</v>
      </c>
      <c r="BB28" s="10" t="s">
        <v>72</v>
      </c>
      <c r="BC28" s="12">
        <v>1000399718</v>
      </c>
      <c r="BD28" s="10" t="s">
        <v>205</v>
      </c>
    </row>
    <row r="29" spans="1:56" s="1" customFormat="1" ht="18" customHeight="1" x14ac:dyDescent="0.2">
      <c r="A29" s="12">
        <v>28</v>
      </c>
      <c r="B29" s="10" t="s">
        <v>64</v>
      </c>
      <c r="C29" s="10" t="s">
        <v>68</v>
      </c>
      <c r="D29" s="10" t="s">
        <v>79</v>
      </c>
      <c r="E29" s="10" t="s">
        <v>252</v>
      </c>
      <c r="F29" s="10" t="s">
        <v>255</v>
      </c>
      <c r="G29" s="10" t="s">
        <v>254</v>
      </c>
      <c r="H29" s="10" t="s">
        <v>74</v>
      </c>
      <c r="I29" s="12">
        <v>1</v>
      </c>
      <c r="J29" s="16">
        <v>327.2</v>
      </c>
      <c r="K29" s="16">
        <v>327.2</v>
      </c>
      <c r="L29" s="31">
        <v>3.6139999999999999</v>
      </c>
      <c r="M29" s="16">
        <v>327.2</v>
      </c>
      <c r="N29" s="10" t="s">
        <v>204</v>
      </c>
      <c r="O29" s="16">
        <v>0</v>
      </c>
      <c r="P29" s="12">
        <v>0</v>
      </c>
      <c r="Q29" s="12">
        <v>0</v>
      </c>
      <c r="R29" s="10" t="s">
        <v>204</v>
      </c>
      <c r="S29" s="16">
        <v>0</v>
      </c>
      <c r="T29" s="9">
        <v>0</v>
      </c>
      <c r="U29" s="9">
        <v>0</v>
      </c>
      <c r="V29" s="10" t="s">
        <v>204</v>
      </c>
      <c r="W29" s="16">
        <v>0</v>
      </c>
      <c r="X29" s="9">
        <v>0</v>
      </c>
      <c r="Y29" s="9">
        <v>0</v>
      </c>
      <c r="Z29" s="10" t="s">
        <v>204</v>
      </c>
      <c r="AA29" s="16">
        <v>0</v>
      </c>
      <c r="AB29" s="9">
        <v>0</v>
      </c>
      <c r="AC29" s="9">
        <v>0</v>
      </c>
      <c r="AD29" s="10" t="s">
        <v>204</v>
      </c>
      <c r="AE29" s="16">
        <v>0</v>
      </c>
      <c r="AF29" s="9">
        <v>0</v>
      </c>
      <c r="AG29" s="9">
        <v>0</v>
      </c>
      <c r="AH29" s="10" t="s">
        <v>204</v>
      </c>
      <c r="AI29" s="16">
        <v>0</v>
      </c>
      <c r="AJ29" s="9">
        <v>0</v>
      </c>
      <c r="AK29" s="9">
        <v>0</v>
      </c>
      <c r="AL29" s="10" t="s">
        <v>204</v>
      </c>
      <c r="AM29" s="16">
        <v>0</v>
      </c>
      <c r="AN29" s="9">
        <v>0</v>
      </c>
      <c r="AO29" s="9">
        <v>0</v>
      </c>
      <c r="AP29" s="10" t="s">
        <v>204</v>
      </c>
      <c r="AQ29" s="16">
        <v>0</v>
      </c>
      <c r="AR29" s="9">
        <v>0</v>
      </c>
      <c r="AS29" s="9">
        <v>0</v>
      </c>
      <c r="AT29" s="10" t="s">
        <v>204</v>
      </c>
      <c r="AU29" s="16">
        <v>0</v>
      </c>
      <c r="AV29" s="9">
        <v>0</v>
      </c>
      <c r="AW29" s="9">
        <v>0</v>
      </c>
      <c r="AX29" s="10" t="s">
        <v>204</v>
      </c>
      <c r="AY29" s="16">
        <v>0</v>
      </c>
      <c r="AZ29" s="9">
        <v>0</v>
      </c>
      <c r="BA29" s="9">
        <v>0</v>
      </c>
      <c r="BB29" s="10" t="s">
        <v>72</v>
      </c>
      <c r="BC29" s="12">
        <v>1000399636</v>
      </c>
      <c r="BD29" s="10" t="s">
        <v>205</v>
      </c>
    </row>
    <row r="30" spans="1:56" s="1" customFormat="1" ht="18" customHeight="1" x14ac:dyDescent="0.2">
      <c r="A30" s="12">
        <v>29</v>
      </c>
      <c r="B30" s="10" t="s">
        <v>64</v>
      </c>
      <c r="C30" s="10" t="s">
        <v>68</v>
      </c>
      <c r="D30" s="10" t="s">
        <v>85</v>
      </c>
      <c r="E30" s="10" t="s">
        <v>211</v>
      </c>
      <c r="F30" s="10"/>
      <c r="G30" s="10" t="s">
        <v>208</v>
      </c>
      <c r="H30" s="10" t="s">
        <v>74</v>
      </c>
      <c r="I30" s="12">
        <v>5</v>
      </c>
      <c r="J30" s="16">
        <v>418.73</v>
      </c>
      <c r="K30" s="16">
        <v>2093.65</v>
      </c>
      <c r="L30" s="31">
        <v>3.8029999999999999</v>
      </c>
      <c r="M30" s="16">
        <v>418.73</v>
      </c>
      <c r="N30" s="10" t="s">
        <v>482</v>
      </c>
      <c r="O30" s="16">
        <v>433.98</v>
      </c>
      <c r="P30" s="12"/>
      <c r="Q30" s="12">
        <v>5</v>
      </c>
      <c r="R30" s="10" t="s">
        <v>204</v>
      </c>
      <c r="S30" s="16">
        <v>0</v>
      </c>
      <c r="T30" s="9">
        <v>0</v>
      </c>
      <c r="U30" s="9">
        <v>0</v>
      </c>
      <c r="V30" s="10" t="s">
        <v>204</v>
      </c>
      <c r="W30" s="16">
        <v>0</v>
      </c>
      <c r="X30" s="9">
        <v>0</v>
      </c>
      <c r="Y30" s="9">
        <v>0</v>
      </c>
      <c r="Z30" s="10" t="s">
        <v>204</v>
      </c>
      <c r="AA30" s="16">
        <v>0</v>
      </c>
      <c r="AB30" s="9">
        <v>0</v>
      </c>
      <c r="AC30" s="9">
        <v>0</v>
      </c>
      <c r="AD30" s="10" t="s">
        <v>204</v>
      </c>
      <c r="AE30" s="16">
        <v>0</v>
      </c>
      <c r="AF30" s="9">
        <v>0</v>
      </c>
      <c r="AG30" s="9">
        <v>0</v>
      </c>
      <c r="AH30" s="10" t="s">
        <v>204</v>
      </c>
      <c r="AI30" s="16">
        <v>0</v>
      </c>
      <c r="AJ30" s="9">
        <v>0</v>
      </c>
      <c r="AK30" s="9">
        <v>0</v>
      </c>
      <c r="AL30" s="10" t="s">
        <v>204</v>
      </c>
      <c r="AM30" s="16">
        <v>0</v>
      </c>
      <c r="AN30" s="9">
        <v>0</v>
      </c>
      <c r="AO30" s="9">
        <v>0</v>
      </c>
      <c r="AP30" s="10" t="s">
        <v>204</v>
      </c>
      <c r="AQ30" s="16">
        <v>0</v>
      </c>
      <c r="AR30" s="9">
        <v>0</v>
      </c>
      <c r="AS30" s="9">
        <v>0</v>
      </c>
      <c r="AT30" s="10" t="s">
        <v>204</v>
      </c>
      <c r="AU30" s="16">
        <v>0</v>
      </c>
      <c r="AV30" s="9">
        <v>0</v>
      </c>
      <c r="AW30" s="9">
        <v>0</v>
      </c>
      <c r="AX30" s="10" t="s">
        <v>204</v>
      </c>
      <c r="AY30" s="16">
        <v>0</v>
      </c>
      <c r="AZ30" s="9">
        <v>0</v>
      </c>
      <c r="BA30" s="9">
        <v>0</v>
      </c>
      <c r="BB30" s="10" t="s">
        <v>72</v>
      </c>
      <c r="BC30" s="12">
        <v>1000439898</v>
      </c>
      <c r="BD30" s="10" t="s">
        <v>205</v>
      </c>
    </row>
    <row r="31" spans="1:56" s="1" customFormat="1" ht="18" customHeight="1" x14ac:dyDescent="0.2">
      <c r="A31" s="12">
        <v>30</v>
      </c>
      <c r="B31" s="10" t="s">
        <v>64</v>
      </c>
      <c r="C31" s="10" t="s">
        <v>68</v>
      </c>
      <c r="D31" s="10" t="s">
        <v>85</v>
      </c>
      <c r="E31" s="10" t="s">
        <v>256</v>
      </c>
      <c r="F31" s="10" t="s">
        <v>257</v>
      </c>
      <c r="G31" s="10" t="s">
        <v>220</v>
      </c>
      <c r="H31" s="10" t="s">
        <v>74</v>
      </c>
      <c r="I31" s="12">
        <v>48</v>
      </c>
      <c r="J31" s="16">
        <v>433.98</v>
      </c>
      <c r="K31" s="16">
        <v>20831.04</v>
      </c>
      <c r="L31" s="31">
        <v>3.6019999999999999</v>
      </c>
      <c r="M31" s="16">
        <v>433.98</v>
      </c>
      <c r="N31" s="10" t="s">
        <v>482</v>
      </c>
      <c r="O31" s="16">
        <v>433.98</v>
      </c>
      <c r="P31" s="12">
        <v>0</v>
      </c>
      <c r="Q31" s="12">
        <v>44</v>
      </c>
      <c r="R31" s="10" t="s">
        <v>204</v>
      </c>
      <c r="S31" s="16">
        <v>0</v>
      </c>
      <c r="T31" s="9">
        <v>0</v>
      </c>
      <c r="U31" s="9">
        <v>0</v>
      </c>
      <c r="V31" s="10" t="s">
        <v>204</v>
      </c>
      <c r="W31" s="16">
        <v>0</v>
      </c>
      <c r="X31" s="9">
        <v>0</v>
      </c>
      <c r="Y31" s="9">
        <v>0</v>
      </c>
      <c r="Z31" s="10" t="s">
        <v>204</v>
      </c>
      <c r="AA31" s="16">
        <v>0</v>
      </c>
      <c r="AB31" s="9">
        <v>0</v>
      </c>
      <c r="AC31" s="9">
        <v>0</v>
      </c>
      <c r="AD31" s="10" t="s">
        <v>204</v>
      </c>
      <c r="AE31" s="16">
        <v>0</v>
      </c>
      <c r="AF31" s="9">
        <v>0</v>
      </c>
      <c r="AG31" s="9">
        <v>0</v>
      </c>
      <c r="AH31" s="10" t="s">
        <v>204</v>
      </c>
      <c r="AI31" s="16">
        <v>0</v>
      </c>
      <c r="AJ31" s="9">
        <v>0</v>
      </c>
      <c r="AK31" s="9">
        <v>0</v>
      </c>
      <c r="AL31" s="10" t="s">
        <v>204</v>
      </c>
      <c r="AM31" s="16">
        <v>0</v>
      </c>
      <c r="AN31" s="9">
        <v>0</v>
      </c>
      <c r="AO31" s="9">
        <v>0</v>
      </c>
      <c r="AP31" s="10" t="s">
        <v>204</v>
      </c>
      <c r="AQ31" s="16">
        <v>0</v>
      </c>
      <c r="AR31" s="9">
        <v>0</v>
      </c>
      <c r="AS31" s="9">
        <v>0</v>
      </c>
      <c r="AT31" s="10" t="s">
        <v>204</v>
      </c>
      <c r="AU31" s="16">
        <v>0</v>
      </c>
      <c r="AV31" s="9">
        <v>0</v>
      </c>
      <c r="AW31" s="9">
        <v>0</v>
      </c>
      <c r="AX31" s="10" t="s">
        <v>204</v>
      </c>
      <c r="AY31" s="16">
        <v>0</v>
      </c>
      <c r="AZ31" s="9">
        <v>0</v>
      </c>
      <c r="BA31" s="9">
        <v>0</v>
      </c>
      <c r="BB31" s="10" t="s">
        <v>72</v>
      </c>
      <c r="BC31" s="12">
        <v>1000427925</v>
      </c>
      <c r="BD31" s="10" t="s">
        <v>205</v>
      </c>
    </row>
    <row r="32" spans="1:56" s="1" customFormat="1" ht="18" customHeight="1" x14ac:dyDescent="0.2">
      <c r="A32" s="12">
        <v>31</v>
      </c>
      <c r="B32" s="10" t="s">
        <v>64</v>
      </c>
      <c r="C32" s="10" t="s">
        <v>68</v>
      </c>
      <c r="D32" s="10" t="s">
        <v>85</v>
      </c>
      <c r="E32" s="10" t="s">
        <v>218</v>
      </c>
      <c r="F32" s="10"/>
      <c r="G32" s="10" t="s">
        <v>220</v>
      </c>
      <c r="H32" s="10" t="s">
        <v>74</v>
      </c>
      <c r="I32" s="12">
        <v>4</v>
      </c>
      <c r="J32" s="16">
        <v>433.98</v>
      </c>
      <c r="K32" s="16">
        <v>1735.92</v>
      </c>
      <c r="L32" s="31">
        <v>3.6749999999999998</v>
      </c>
      <c r="M32" s="16">
        <v>433.98</v>
      </c>
      <c r="N32" s="10" t="s">
        <v>204</v>
      </c>
      <c r="O32" s="16">
        <v>0</v>
      </c>
      <c r="P32" s="12">
        <v>0</v>
      </c>
      <c r="Q32" s="12">
        <v>0</v>
      </c>
      <c r="R32" s="10" t="s">
        <v>204</v>
      </c>
      <c r="S32" s="16">
        <v>0</v>
      </c>
      <c r="T32" s="9">
        <v>0</v>
      </c>
      <c r="U32" s="9">
        <v>0</v>
      </c>
      <c r="V32" s="10" t="s">
        <v>204</v>
      </c>
      <c r="W32" s="16">
        <v>0</v>
      </c>
      <c r="X32" s="9">
        <v>0</v>
      </c>
      <c r="Y32" s="9">
        <v>0</v>
      </c>
      <c r="Z32" s="10" t="s">
        <v>204</v>
      </c>
      <c r="AA32" s="16">
        <v>0</v>
      </c>
      <c r="AB32" s="9">
        <v>0</v>
      </c>
      <c r="AC32" s="9">
        <v>0</v>
      </c>
      <c r="AD32" s="10" t="s">
        <v>204</v>
      </c>
      <c r="AE32" s="16">
        <v>0</v>
      </c>
      <c r="AF32" s="9">
        <v>0</v>
      </c>
      <c r="AG32" s="9">
        <v>0</v>
      </c>
      <c r="AH32" s="10" t="s">
        <v>204</v>
      </c>
      <c r="AI32" s="16">
        <v>0</v>
      </c>
      <c r="AJ32" s="9">
        <v>0</v>
      </c>
      <c r="AK32" s="9">
        <v>0</v>
      </c>
      <c r="AL32" s="10" t="s">
        <v>204</v>
      </c>
      <c r="AM32" s="16">
        <v>0</v>
      </c>
      <c r="AN32" s="9">
        <v>0</v>
      </c>
      <c r="AO32" s="9">
        <v>0</v>
      </c>
      <c r="AP32" s="10" t="s">
        <v>204</v>
      </c>
      <c r="AQ32" s="16">
        <v>0</v>
      </c>
      <c r="AR32" s="9">
        <v>0</v>
      </c>
      <c r="AS32" s="9">
        <v>0</v>
      </c>
      <c r="AT32" s="10" t="s">
        <v>204</v>
      </c>
      <c r="AU32" s="16">
        <v>0</v>
      </c>
      <c r="AV32" s="9">
        <v>0</v>
      </c>
      <c r="AW32" s="9">
        <v>0</v>
      </c>
      <c r="AX32" s="10" t="s">
        <v>204</v>
      </c>
      <c r="AY32" s="16">
        <v>0</v>
      </c>
      <c r="AZ32" s="9">
        <v>0</v>
      </c>
      <c r="BA32" s="9">
        <v>0</v>
      </c>
      <c r="BB32" s="10" t="s">
        <v>72</v>
      </c>
      <c r="BC32" s="12">
        <v>1000427925</v>
      </c>
      <c r="BD32" s="10" t="s">
        <v>205</v>
      </c>
    </row>
    <row r="33" spans="1:56" s="1" customFormat="1" ht="18" customHeight="1" x14ac:dyDescent="0.2">
      <c r="A33" s="12">
        <v>32</v>
      </c>
      <c r="B33" s="10" t="s">
        <v>64</v>
      </c>
      <c r="C33" s="10" t="s">
        <v>68</v>
      </c>
      <c r="D33" s="10" t="s">
        <v>85</v>
      </c>
      <c r="E33" s="10" t="s">
        <v>258</v>
      </c>
      <c r="F33" s="10" t="s">
        <v>259</v>
      </c>
      <c r="G33" s="10" t="s">
        <v>260</v>
      </c>
      <c r="H33" s="10" t="s">
        <v>74</v>
      </c>
      <c r="I33" s="12">
        <v>27</v>
      </c>
      <c r="J33" s="16">
        <v>433.98</v>
      </c>
      <c r="K33" s="16">
        <v>11717.46</v>
      </c>
      <c r="L33" s="31">
        <v>3.8159999999999998</v>
      </c>
      <c r="M33" s="16">
        <v>433.98</v>
      </c>
      <c r="N33" s="10" t="s">
        <v>204</v>
      </c>
      <c r="O33" s="16">
        <v>0</v>
      </c>
      <c r="P33" s="12">
        <v>0</v>
      </c>
      <c r="Q33" s="12">
        <v>0</v>
      </c>
      <c r="R33" s="10" t="s">
        <v>204</v>
      </c>
      <c r="S33" s="16">
        <v>0</v>
      </c>
      <c r="T33" s="9">
        <v>0</v>
      </c>
      <c r="U33" s="9">
        <v>0</v>
      </c>
      <c r="V33" s="10" t="s">
        <v>204</v>
      </c>
      <c r="W33" s="16">
        <v>0</v>
      </c>
      <c r="X33" s="9">
        <v>0</v>
      </c>
      <c r="Y33" s="9">
        <v>0</v>
      </c>
      <c r="Z33" s="10" t="s">
        <v>204</v>
      </c>
      <c r="AA33" s="16">
        <v>0</v>
      </c>
      <c r="AB33" s="9">
        <v>0</v>
      </c>
      <c r="AC33" s="9">
        <v>0</v>
      </c>
      <c r="AD33" s="10" t="s">
        <v>204</v>
      </c>
      <c r="AE33" s="16">
        <v>0</v>
      </c>
      <c r="AF33" s="9">
        <v>0</v>
      </c>
      <c r="AG33" s="9">
        <v>0</v>
      </c>
      <c r="AH33" s="10" t="s">
        <v>204</v>
      </c>
      <c r="AI33" s="16">
        <v>0</v>
      </c>
      <c r="AJ33" s="9">
        <v>0</v>
      </c>
      <c r="AK33" s="9">
        <v>0</v>
      </c>
      <c r="AL33" s="10" t="s">
        <v>204</v>
      </c>
      <c r="AM33" s="16">
        <v>0</v>
      </c>
      <c r="AN33" s="9">
        <v>0</v>
      </c>
      <c r="AO33" s="9">
        <v>0</v>
      </c>
      <c r="AP33" s="10" t="s">
        <v>204</v>
      </c>
      <c r="AQ33" s="16">
        <v>0</v>
      </c>
      <c r="AR33" s="9">
        <v>0</v>
      </c>
      <c r="AS33" s="9">
        <v>0</v>
      </c>
      <c r="AT33" s="10" t="s">
        <v>204</v>
      </c>
      <c r="AU33" s="16">
        <v>0</v>
      </c>
      <c r="AV33" s="9">
        <v>0</v>
      </c>
      <c r="AW33" s="9">
        <v>0</v>
      </c>
      <c r="AX33" s="10" t="s">
        <v>204</v>
      </c>
      <c r="AY33" s="16">
        <v>0</v>
      </c>
      <c r="AZ33" s="9">
        <v>0</v>
      </c>
      <c r="BA33" s="9">
        <v>0</v>
      </c>
      <c r="BB33" s="10" t="s">
        <v>72</v>
      </c>
      <c r="BC33" s="12">
        <v>1000424246</v>
      </c>
      <c r="BD33" s="10" t="s">
        <v>205</v>
      </c>
    </row>
    <row r="34" spans="1:56" s="1" customFormat="1" ht="18" customHeight="1" x14ac:dyDescent="0.2">
      <c r="A34" s="12">
        <v>33</v>
      </c>
      <c r="B34" s="10" t="s">
        <v>64</v>
      </c>
      <c r="C34" s="10" t="s">
        <v>68</v>
      </c>
      <c r="D34" s="10" t="s">
        <v>85</v>
      </c>
      <c r="E34" s="10" t="s">
        <v>261</v>
      </c>
      <c r="F34" s="10" t="s">
        <v>262</v>
      </c>
      <c r="G34" s="10" t="s">
        <v>222</v>
      </c>
      <c r="H34" s="10" t="s">
        <v>74</v>
      </c>
      <c r="I34" s="12">
        <v>20</v>
      </c>
      <c r="J34" s="16">
        <v>433.98</v>
      </c>
      <c r="K34" s="16">
        <v>8679.6</v>
      </c>
      <c r="L34" s="31">
        <v>3.8290000000000002</v>
      </c>
      <c r="M34" s="16">
        <v>433.98</v>
      </c>
      <c r="N34" s="10" t="s">
        <v>204</v>
      </c>
      <c r="O34" s="16">
        <v>0</v>
      </c>
      <c r="P34" s="12">
        <v>0</v>
      </c>
      <c r="Q34" s="12">
        <v>0</v>
      </c>
      <c r="R34" s="10" t="s">
        <v>204</v>
      </c>
      <c r="S34" s="16">
        <v>0</v>
      </c>
      <c r="T34" s="9">
        <v>0</v>
      </c>
      <c r="U34" s="9">
        <v>0</v>
      </c>
      <c r="V34" s="10" t="s">
        <v>204</v>
      </c>
      <c r="W34" s="16">
        <v>0</v>
      </c>
      <c r="X34" s="9">
        <v>0</v>
      </c>
      <c r="Y34" s="9">
        <v>0</v>
      </c>
      <c r="Z34" s="10" t="s">
        <v>204</v>
      </c>
      <c r="AA34" s="16">
        <v>0</v>
      </c>
      <c r="AB34" s="9">
        <v>0</v>
      </c>
      <c r="AC34" s="9">
        <v>0</v>
      </c>
      <c r="AD34" s="10" t="s">
        <v>204</v>
      </c>
      <c r="AE34" s="16">
        <v>0</v>
      </c>
      <c r="AF34" s="9">
        <v>0</v>
      </c>
      <c r="AG34" s="9">
        <v>0</v>
      </c>
      <c r="AH34" s="10" t="s">
        <v>204</v>
      </c>
      <c r="AI34" s="16">
        <v>0</v>
      </c>
      <c r="AJ34" s="9">
        <v>0</v>
      </c>
      <c r="AK34" s="9">
        <v>0</v>
      </c>
      <c r="AL34" s="10" t="s">
        <v>204</v>
      </c>
      <c r="AM34" s="16">
        <v>0</v>
      </c>
      <c r="AN34" s="9">
        <v>0</v>
      </c>
      <c r="AO34" s="9">
        <v>0</v>
      </c>
      <c r="AP34" s="10" t="s">
        <v>204</v>
      </c>
      <c r="AQ34" s="16">
        <v>0</v>
      </c>
      <c r="AR34" s="9">
        <v>0</v>
      </c>
      <c r="AS34" s="9">
        <v>0</v>
      </c>
      <c r="AT34" s="10" t="s">
        <v>204</v>
      </c>
      <c r="AU34" s="16">
        <v>0</v>
      </c>
      <c r="AV34" s="9">
        <v>0</v>
      </c>
      <c r="AW34" s="9">
        <v>0</v>
      </c>
      <c r="AX34" s="10" t="s">
        <v>204</v>
      </c>
      <c r="AY34" s="16">
        <v>0</v>
      </c>
      <c r="AZ34" s="9">
        <v>0</v>
      </c>
      <c r="BA34" s="9">
        <v>0</v>
      </c>
      <c r="BB34" s="10" t="s">
        <v>72</v>
      </c>
      <c r="BC34" s="12">
        <v>1000422908</v>
      </c>
      <c r="BD34" s="10" t="s">
        <v>205</v>
      </c>
    </row>
    <row r="35" spans="1:56" s="1" customFormat="1" ht="18" customHeight="1" x14ac:dyDescent="0.2">
      <c r="A35" s="12">
        <v>34</v>
      </c>
      <c r="B35" s="10" t="s">
        <v>64</v>
      </c>
      <c r="C35" s="10" t="s">
        <v>68</v>
      </c>
      <c r="D35" s="10" t="s">
        <v>85</v>
      </c>
      <c r="E35" s="10" t="s">
        <v>263</v>
      </c>
      <c r="F35" s="10"/>
      <c r="G35" s="10" t="s">
        <v>264</v>
      </c>
      <c r="H35" s="10" t="s">
        <v>74</v>
      </c>
      <c r="I35" s="12">
        <v>10</v>
      </c>
      <c r="J35" s="16">
        <v>433.98</v>
      </c>
      <c r="K35" s="16">
        <v>4339.8</v>
      </c>
      <c r="L35" s="31">
        <v>3.9710000000000001</v>
      </c>
      <c r="M35" s="16">
        <v>433.98</v>
      </c>
      <c r="N35" s="10" t="s">
        <v>204</v>
      </c>
      <c r="O35" s="16">
        <v>0</v>
      </c>
      <c r="P35" s="12">
        <v>0</v>
      </c>
      <c r="Q35" s="12">
        <v>0</v>
      </c>
      <c r="R35" s="10" t="s">
        <v>204</v>
      </c>
      <c r="S35" s="16">
        <v>0</v>
      </c>
      <c r="T35" s="9">
        <v>0</v>
      </c>
      <c r="U35" s="9">
        <v>0</v>
      </c>
      <c r="V35" s="10" t="s">
        <v>204</v>
      </c>
      <c r="W35" s="16">
        <v>0</v>
      </c>
      <c r="X35" s="9">
        <v>0</v>
      </c>
      <c r="Y35" s="9">
        <v>0</v>
      </c>
      <c r="Z35" s="10" t="s">
        <v>204</v>
      </c>
      <c r="AA35" s="16">
        <v>0</v>
      </c>
      <c r="AB35" s="9">
        <v>0</v>
      </c>
      <c r="AC35" s="9">
        <v>0</v>
      </c>
      <c r="AD35" s="10" t="s">
        <v>204</v>
      </c>
      <c r="AE35" s="16">
        <v>0</v>
      </c>
      <c r="AF35" s="9">
        <v>0</v>
      </c>
      <c r="AG35" s="9">
        <v>0</v>
      </c>
      <c r="AH35" s="10" t="s">
        <v>204</v>
      </c>
      <c r="AI35" s="16">
        <v>0</v>
      </c>
      <c r="AJ35" s="9">
        <v>0</v>
      </c>
      <c r="AK35" s="9">
        <v>0</v>
      </c>
      <c r="AL35" s="10" t="s">
        <v>204</v>
      </c>
      <c r="AM35" s="16">
        <v>0</v>
      </c>
      <c r="AN35" s="9">
        <v>0</v>
      </c>
      <c r="AO35" s="9">
        <v>0</v>
      </c>
      <c r="AP35" s="10" t="s">
        <v>204</v>
      </c>
      <c r="AQ35" s="16">
        <v>0</v>
      </c>
      <c r="AR35" s="9">
        <v>0</v>
      </c>
      <c r="AS35" s="9">
        <v>0</v>
      </c>
      <c r="AT35" s="10" t="s">
        <v>204</v>
      </c>
      <c r="AU35" s="16">
        <v>0</v>
      </c>
      <c r="AV35" s="9">
        <v>0</v>
      </c>
      <c r="AW35" s="9">
        <v>0</v>
      </c>
      <c r="AX35" s="10" t="s">
        <v>204</v>
      </c>
      <c r="AY35" s="16">
        <v>0</v>
      </c>
      <c r="AZ35" s="9">
        <v>0</v>
      </c>
      <c r="BA35" s="9">
        <v>0</v>
      </c>
      <c r="BB35" s="10" t="s">
        <v>72</v>
      </c>
      <c r="BC35" s="12">
        <v>1000419825</v>
      </c>
      <c r="BD35" s="10" t="s">
        <v>205</v>
      </c>
    </row>
    <row r="36" spans="1:56" s="1" customFormat="1" ht="18" customHeight="1" x14ac:dyDescent="0.2">
      <c r="A36" s="12">
        <v>35</v>
      </c>
      <c r="B36" s="10" t="s">
        <v>64</v>
      </c>
      <c r="C36" s="10" t="s">
        <v>68</v>
      </c>
      <c r="D36" s="10" t="s">
        <v>85</v>
      </c>
      <c r="E36" s="10" t="s">
        <v>230</v>
      </c>
      <c r="F36" s="10"/>
      <c r="G36" s="10" t="s">
        <v>231</v>
      </c>
      <c r="H36" s="10" t="s">
        <v>74</v>
      </c>
      <c r="I36" s="12">
        <v>50</v>
      </c>
      <c r="J36" s="16">
        <v>426.36</v>
      </c>
      <c r="K36" s="16">
        <v>21318</v>
      </c>
      <c r="L36" s="31">
        <v>3.714</v>
      </c>
      <c r="M36" s="16">
        <v>426.36</v>
      </c>
      <c r="N36" s="10" t="s">
        <v>204</v>
      </c>
      <c r="O36" s="16">
        <v>0</v>
      </c>
      <c r="P36" s="12">
        <v>0</v>
      </c>
      <c r="Q36" s="12">
        <v>0</v>
      </c>
      <c r="R36" s="10" t="s">
        <v>204</v>
      </c>
      <c r="S36" s="16">
        <v>0</v>
      </c>
      <c r="T36" s="9">
        <v>0</v>
      </c>
      <c r="U36" s="9">
        <v>0</v>
      </c>
      <c r="V36" s="10" t="s">
        <v>204</v>
      </c>
      <c r="W36" s="16">
        <v>0</v>
      </c>
      <c r="X36" s="9">
        <v>0</v>
      </c>
      <c r="Y36" s="9">
        <v>0</v>
      </c>
      <c r="Z36" s="10" t="s">
        <v>204</v>
      </c>
      <c r="AA36" s="16">
        <v>0</v>
      </c>
      <c r="AB36" s="9">
        <v>0</v>
      </c>
      <c r="AC36" s="9">
        <v>0</v>
      </c>
      <c r="AD36" s="10" t="s">
        <v>204</v>
      </c>
      <c r="AE36" s="16">
        <v>0</v>
      </c>
      <c r="AF36" s="9">
        <v>0</v>
      </c>
      <c r="AG36" s="9">
        <v>0</v>
      </c>
      <c r="AH36" s="10" t="s">
        <v>204</v>
      </c>
      <c r="AI36" s="16">
        <v>0</v>
      </c>
      <c r="AJ36" s="9">
        <v>0</v>
      </c>
      <c r="AK36" s="9">
        <v>0</v>
      </c>
      <c r="AL36" s="10" t="s">
        <v>204</v>
      </c>
      <c r="AM36" s="16">
        <v>0</v>
      </c>
      <c r="AN36" s="9">
        <v>0</v>
      </c>
      <c r="AO36" s="9">
        <v>0</v>
      </c>
      <c r="AP36" s="10" t="s">
        <v>204</v>
      </c>
      <c r="AQ36" s="16">
        <v>0</v>
      </c>
      <c r="AR36" s="9">
        <v>0</v>
      </c>
      <c r="AS36" s="9">
        <v>0</v>
      </c>
      <c r="AT36" s="10" t="s">
        <v>204</v>
      </c>
      <c r="AU36" s="16">
        <v>0</v>
      </c>
      <c r="AV36" s="9">
        <v>0</v>
      </c>
      <c r="AW36" s="9">
        <v>0</v>
      </c>
      <c r="AX36" s="10" t="s">
        <v>204</v>
      </c>
      <c r="AY36" s="16">
        <v>0</v>
      </c>
      <c r="AZ36" s="9">
        <v>0</v>
      </c>
      <c r="BA36" s="9">
        <v>0</v>
      </c>
      <c r="BB36" s="10" t="s">
        <v>72</v>
      </c>
      <c r="BC36" s="12">
        <v>1000414682</v>
      </c>
      <c r="BD36" s="10" t="s">
        <v>205</v>
      </c>
    </row>
    <row r="37" spans="1:56" s="1" customFormat="1" ht="18" customHeight="1" x14ac:dyDescent="0.2">
      <c r="A37" s="12">
        <v>36</v>
      </c>
      <c r="B37" s="10" t="s">
        <v>64</v>
      </c>
      <c r="C37" s="10" t="s">
        <v>68</v>
      </c>
      <c r="D37" s="10" t="s">
        <v>85</v>
      </c>
      <c r="E37" s="10" t="s">
        <v>265</v>
      </c>
      <c r="F37" s="10"/>
      <c r="G37" s="10" t="s">
        <v>266</v>
      </c>
      <c r="H37" s="10" t="s">
        <v>74</v>
      </c>
      <c r="I37" s="12">
        <v>14</v>
      </c>
      <c r="J37" s="16">
        <v>449.24</v>
      </c>
      <c r="K37" s="16">
        <v>6289.36</v>
      </c>
      <c r="L37" s="31">
        <v>4.04</v>
      </c>
      <c r="M37" s="16">
        <v>449.24</v>
      </c>
      <c r="N37" s="10" t="s">
        <v>204</v>
      </c>
      <c r="O37" s="16">
        <v>0</v>
      </c>
      <c r="P37" s="12">
        <v>0</v>
      </c>
      <c r="Q37" s="12">
        <v>0</v>
      </c>
      <c r="R37" s="10" t="s">
        <v>204</v>
      </c>
      <c r="S37" s="16">
        <v>0</v>
      </c>
      <c r="T37" s="9">
        <v>0</v>
      </c>
      <c r="U37" s="9">
        <v>0</v>
      </c>
      <c r="V37" s="10" t="s">
        <v>204</v>
      </c>
      <c r="W37" s="16">
        <v>0</v>
      </c>
      <c r="X37" s="9">
        <v>0</v>
      </c>
      <c r="Y37" s="9">
        <v>0</v>
      </c>
      <c r="Z37" s="10" t="s">
        <v>204</v>
      </c>
      <c r="AA37" s="16">
        <v>0</v>
      </c>
      <c r="AB37" s="9">
        <v>0</v>
      </c>
      <c r="AC37" s="9">
        <v>0</v>
      </c>
      <c r="AD37" s="10" t="s">
        <v>204</v>
      </c>
      <c r="AE37" s="16">
        <v>0</v>
      </c>
      <c r="AF37" s="9">
        <v>0</v>
      </c>
      <c r="AG37" s="9">
        <v>0</v>
      </c>
      <c r="AH37" s="10" t="s">
        <v>204</v>
      </c>
      <c r="AI37" s="16">
        <v>0</v>
      </c>
      <c r="AJ37" s="9">
        <v>0</v>
      </c>
      <c r="AK37" s="9">
        <v>0</v>
      </c>
      <c r="AL37" s="10" t="s">
        <v>204</v>
      </c>
      <c r="AM37" s="16">
        <v>0</v>
      </c>
      <c r="AN37" s="9">
        <v>0</v>
      </c>
      <c r="AO37" s="9">
        <v>0</v>
      </c>
      <c r="AP37" s="10" t="s">
        <v>204</v>
      </c>
      <c r="AQ37" s="16">
        <v>0</v>
      </c>
      <c r="AR37" s="9">
        <v>0</v>
      </c>
      <c r="AS37" s="9">
        <v>0</v>
      </c>
      <c r="AT37" s="10" t="s">
        <v>204</v>
      </c>
      <c r="AU37" s="16">
        <v>0</v>
      </c>
      <c r="AV37" s="9">
        <v>0</v>
      </c>
      <c r="AW37" s="9">
        <v>0</v>
      </c>
      <c r="AX37" s="10" t="s">
        <v>204</v>
      </c>
      <c r="AY37" s="16">
        <v>0</v>
      </c>
      <c r="AZ37" s="9">
        <v>0</v>
      </c>
      <c r="BA37" s="9">
        <v>0</v>
      </c>
      <c r="BB37" s="10" t="s">
        <v>72</v>
      </c>
      <c r="BC37" s="12">
        <v>1000411402</v>
      </c>
      <c r="BD37" s="10" t="s">
        <v>205</v>
      </c>
    </row>
    <row r="38" spans="1:56" s="1" customFormat="1" ht="18" customHeight="1" x14ac:dyDescent="0.2">
      <c r="A38" s="12">
        <v>37</v>
      </c>
      <c r="B38" s="10" t="s">
        <v>64</v>
      </c>
      <c r="C38" s="10" t="s">
        <v>68</v>
      </c>
      <c r="D38" s="10" t="s">
        <v>85</v>
      </c>
      <c r="E38" s="10" t="s">
        <v>236</v>
      </c>
      <c r="F38" s="10" t="s">
        <v>267</v>
      </c>
      <c r="G38" s="10" t="s">
        <v>241</v>
      </c>
      <c r="H38" s="10" t="s">
        <v>74</v>
      </c>
      <c r="I38" s="12">
        <v>6</v>
      </c>
      <c r="J38" s="16">
        <v>456.86</v>
      </c>
      <c r="K38" s="16">
        <v>2741.16</v>
      </c>
      <c r="L38" s="31">
        <v>4.0410000000000004</v>
      </c>
      <c r="M38" s="16">
        <v>456.86</v>
      </c>
      <c r="N38" s="10" t="s">
        <v>204</v>
      </c>
      <c r="O38" s="16">
        <v>0</v>
      </c>
      <c r="P38" s="12">
        <v>0</v>
      </c>
      <c r="Q38" s="12">
        <v>0</v>
      </c>
      <c r="R38" s="10" t="s">
        <v>204</v>
      </c>
      <c r="S38" s="16">
        <v>0</v>
      </c>
      <c r="T38" s="9">
        <v>0</v>
      </c>
      <c r="U38" s="9">
        <v>0</v>
      </c>
      <c r="V38" s="10" t="s">
        <v>204</v>
      </c>
      <c r="W38" s="16">
        <v>0</v>
      </c>
      <c r="X38" s="9">
        <v>0</v>
      </c>
      <c r="Y38" s="9">
        <v>0</v>
      </c>
      <c r="Z38" s="10" t="s">
        <v>204</v>
      </c>
      <c r="AA38" s="16">
        <v>0</v>
      </c>
      <c r="AB38" s="9">
        <v>0</v>
      </c>
      <c r="AC38" s="9">
        <v>0</v>
      </c>
      <c r="AD38" s="10" t="s">
        <v>204</v>
      </c>
      <c r="AE38" s="16">
        <v>0</v>
      </c>
      <c r="AF38" s="9">
        <v>0</v>
      </c>
      <c r="AG38" s="9">
        <v>0</v>
      </c>
      <c r="AH38" s="10" t="s">
        <v>204</v>
      </c>
      <c r="AI38" s="16">
        <v>0</v>
      </c>
      <c r="AJ38" s="9">
        <v>0</v>
      </c>
      <c r="AK38" s="9">
        <v>0</v>
      </c>
      <c r="AL38" s="10" t="s">
        <v>204</v>
      </c>
      <c r="AM38" s="16">
        <v>0</v>
      </c>
      <c r="AN38" s="9">
        <v>0</v>
      </c>
      <c r="AO38" s="9">
        <v>0</v>
      </c>
      <c r="AP38" s="10" t="s">
        <v>204</v>
      </c>
      <c r="AQ38" s="16">
        <v>0</v>
      </c>
      <c r="AR38" s="9">
        <v>0</v>
      </c>
      <c r="AS38" s="9">
        <v>0</v>
      </c>
      <c r="AT38" s="10" t="s">
        <v>204</v>
      </c>
      <c r="AU38" s="16">
        <v>0</v>
      </c>
      <c r="AV38" s="9">
        <v>0</v>
      </c>
      <c r="AW38" s="9">
        <v>0</v>
      </c>
      <c r="AX38" s="10" t="s">
        <v>204</v>
      </c>
      <c r="AY38" s="16">
        <v>0</v>
      </c>
      <c r="AZ38" s="9">
        <v>0</v>
      </c>
      <c r="BA38" s="9">
        <v>0</v>
      </c>
      <c r="BB38" s="10" t="s">
        <v>72</v>
      </c>
      <c r="BC38" s="12">
        <v>1000410134</v>
      </c>
      <c r="BD38" s="10" t="s">
        <v>205</v>
      </c>
    </row>
    <row r="39" spans="1:56" s="1" customFormat="1" ht="18" customHeight="1" x14ac:dyDescent="0.2">
      <c r="A39" s="12">
        <v>38</v>
      </c>
      <c r="B39" s="10" t="s">
        <v>64</v>
      </c>
      <c r="C39" s="10" t="s">
        <v>68</v>
      </c>
      <c r="D39" s="10" t="s">
        <v>85</v>
      </c>
      <c r="E39" s="10" t="s">
        <v>238</v>
      </c>
      <c r="F39" s="10" t="s">
        <v>268</v>
      </c>
      <c r="G39" s="10" t="s">
        <v>243</v>
      </c>
      <c r="H39" s="10" t="s">
        <v>74</v>
      </c>
      <c r="I39" s="12">
        <v>8</v>
      </c>
      <c r="J39" s="16">
        <v>456.86</v>
      </c>
      <c r="K39" s="16">
        <v>3654.88</v>
      </c>
      <c r="L39" s="31">
        <v>4.0309999999999997</v>
      </c>
      <c r="M39" s="16">
        <v>456.86</v>
      </c>
      <c r="N39" s="10" t="s">
        <v>204</v>
      </c>
      <c r="O39" s="16">
        <v>0</v>
      </c>
      <c r="P39" s="12">
        <v>0</v>
      </c>
      <c r="Q39" s="12">
        <v>0</v>
      </c>
      <c r="R39" s="10" t="s">
        <v>204</v>
      </c>
      <c r="S39" s="16">
        <v>0</v>
      </c>
      <c r="T39" s="9">
        <v>0</v>
      </c>
      <c r="U39" s="9">
        <v>0</v>
      </c>
      <c r="V39" s="10" t="s">
        <v>204</v>
      </c>
      <c r="W39" s="16">
        <v>0</v>
      </c>
      <c r="X39" s="9">
        <v>0</v>
      </c>
      <c r="Y39" s="9">
        <v>0</v>
      </c>
      <c r="Z39" s="10" t="s">
        <v>204</v>
      </c>
      <c r="AA39" s="16">
        <v>0</v>
      </c>
      <c r="AB39" s="9">
        <v>0</v>
      </c>
      <c r="AC39" s="9">
        <v>0</v>
      </c>
      <c r="AD39" s="10" t="s">
        <v>204</v>
      </c>
      <c r="AE39" s="16">
        <v>0</v>
      </c>
      <c r="AF39" s="9">
        <v>0</v>
      </c>
      <c r="AG39" s="9">
        <v>0</v>
      </c>
      <c r="AH39" s="10" t="s">
        <v>204</v>
      </c>
      <c r="AI39" s="16">
        <v>0</v>
      </c>
      <c r="AJ39" s="9">
        <v>0</v>
      </c>
      <c r="AK39" s="9">
        <v>0</v>
      </c>
      <c r="AL39" s="10" t="s">
        <v>204</v>
      </c>
      <c r="AM39" s="16">
        <v>0</v>
      </c>
      <c r="AN39" s="9">
        <v>0</v>
      </c>
      <c r="AO39" s="9">
        <v>0</v>
      </c>
      <c r="AP39" s="10" t="s">
        <v>204</v>
      </c>
      <c r="AQ39" s="16">
        <v>0</v>
      </c>
      <c r="AR39" s="9">
        <v>0</v>
      </c>
      <c r="AS39" s="9">
        <v>0</v>
      </c>
      <c r="AT39" s="10" t="s">
        <v>204</v>
      </c>
      <c r="AU39" s="16">
        <v>0</v>
      </c>
      <c r="AV39" s="9">
        <v>0</v>
      </c>
      <c r="AW39" s="9">
        <v>0</v>
      </c>
      <c r="AX39" s="10" t="s">
        <v>204</v>
      </c>
      <c r="AY39" s="16">
        <v>0</v>
      </c>
      <c r="AZ39" s="9">
        <v>0</v>
      </c>
      <c r="BA39" s="9">
        <v>0</v>
      </c>
      <c r="BB39" s="10" t="s">
        <v>72</v>
      </c>
      <c r="BC39" s="12">
        <v>1000410406</v>
      </c>
      <c r="BD39" s="10" t="s">
        <v>205</v>
      </c>
    </row>
    <row r="40" spans="1:56" s="1" customFormat="1" ht="18" customHeight="1" x14ac:dyDescent="0.2">
      <c r="A40" s="12">
        <v>39</v>
      </c>
      <c r="B40" s="10" t="s">
        <v>64</v>
      </c>
      <c r="C40" s="10" t="s">
        <v>68</v>
      </c>
      <c r="D40" s="10" t="s">
        <v>85</v>
      </c>
      <c r="E40" s="10" t="s">
        <v>269</v>
      </c>
      <c r="F40" s="10" t="s">
        <v>270</v>
      </c>
      <c r="G40" s="10" t="s">
        <v>241</v>
      </c>
      <c r="H40" s="10" t="s">
        <v>74</v>
      </c>
      <c r="I40" s="12">
        <v>2</v>
      </c>
      <c r="J40" s="16">
        <v>456.86</v>
      </c>
      <c r="K40" s="16">
        <v>913.72</v>
      </c>
      <c r="L40" s="31">
        <v>4.0259999999999998</v>
      </c>
      <c r="M40" s="16">
        <v>456.86</v>
      </c>
      <c r="N40" s="10" t="s">
        <v>204</v>
      </c>
      <c r="O40" s="16">
        <v>0</v>
      </c>
      <c r="P40" s="12">
        <v>0</v>
      </c>
      <c r="Q40" s="12">
        <v>0</v>
      </c>
      <c r="R40" s="10" t="s">
        <v>204</v>
      </c>
      <c r="S40" s="16">
        <v>0</v>
      </c>
      <c r="T40" s="9">
        <v>0</v>
      </c>
      <c r="U40" s="9">
        <v>0</v>
      </c>
      <c r="V40" s="10" t="s">
        <v>204</v>
      </c>
      <c r="W40" s="16">
        <v>0</v>
      </c>
      <c r="X40" s="9">
        <v>0</v>
      </c>
      <c r="Y40" s="9">
        <v>0</v>
      </c>
      <c r="Z40" s="10" t="s">
        <v>204</v>
      </c>
      <c r="AA40" s="16">
        <v>0</v>
      </c>
      <c r="AB40" s="9">
        <v>0</v>
      </c>
      <c r="AC40" s="9">
        <v>0</v>
      </c>
      <c r="AD40" s="10" t="s">
        <v>204</v>
      </c>
      <c r="AE40" s="16">
        <v>0</v>
      </c>
      <c r="AF40" s="9">
        <v>0</v>
      </c>
      <c r="AG40" s="9">
        <v>0</v>
      </c>
      <c r="AH40" s="10" t="s">
        <v>204</v>
      </c>
      <c r="AI40" s="16">
        <v>0</v>
      </c>
      <c r="AJ40" s="9">
        <v>0</v>
      </c>
      <c r="AK40" s="9">
        <v>0</v>
      </c>
      <c r="AL40" s="10" t="s">
        <v>204</v>
      </c>
      <c r="AM40" s="16">
        <v>0</v>
      </c>
      <c r="AN40" s="9">
        <v>0</v>
      </c>
      <c r="AO40" s="9">
        <v>0</v>
      </c>
      <c r="AP40" s="10" t="s">
        <v>204</v>
      </c>
      <c r="AQ40" s="16">
        <v>0</v>
      </c>
      <c r="AR40" s="9">
        <v>0</v>
      </c>
      <c r="AS40" s="9">
        <v>0</v>
      </c>
      <c r="AT40" s="10" t="s">
        <v>204</v>
      </c>
      <c r="AU40" s="16">
        <v>0</v>
      </c>
      <c r="AV40" s="9">
        <v>0</v>
      </c>
      <c r="AW40" s="9">
        <v>0</v>
      </c>
      <c r="AX40" s="10" t="s">
        <v>204</v>
      </c>
      <c r="AY40" s="16">
        <v>0</v>
      </c>
      <c r="AZ40" s="9">
        <v>0</v>
      </c>
      <c r="BA40" s="9">
        <v>0</v>
      </c>
      <c r="BB40" s="10" t="s">
        <v>72</v>
      </c>
      <c r="BC40" s="12">
        <v>1000410134</v>
      </c>
      <c r="BD40" s="10" t="s">
        <v>205</v>
      </c>
    </row>
    <row r="41" spans="1:56" s="1" customFormat="1" ht="18" customHeight="1" x14ac:dyDescent="0.2">
      <c r="A41" s="12">
        <v>40</v>
      </c>
      <c r="B41" s="10" t="s">
        <v>64</v>
      </c>
      <c r="C41" s="10" t="s">
        <v>68</v>
      </c>
      <c r="D41" s="10" t="s">
        <v>85</v>
      </c>
      <c r="E41" s="10" t="s">
        <v>271</v>
      </c>
      <c r="F41" s="10" t="s">
        <v>272</v>
      </c>
      <c r="G41" s="10" t="s">
        <v>273</v>
      </c>
      <c r="H41" s="10" t="s">
        <v>74</v>
      </c>
      <c r="I41" s="12">
        <v>6</v>
      </c>
      <c r="J41" s="16">
        <v>449.24</v>
      </c>
      <c r="K41" s="16">
        <v>2695.44</v>
      </c>
      <c r="L41" s="31">
        <v>3.9529999999999998</v>
      </c>
      <c r="M41" s="16">
        <v>449.24</v>
      </c>
      <c r="N41" s="10" t="s">
        <v>204</v>
      </c>
      <c r="O41" s="16">
        <v>0</v>
      </c>
      <c r="P41" s="12">
        <v>0</v>
      </c>
      <c r="Q41" s="12">
        <v>0</v>
      </c>
      <c r="R41" s="10" t="s">
        <v>204</v>
      </c>
      <c r="S41" s="16">
        <v>0</v>
      </c>
      <c r="T41" s="9">
        <v>0</v>
      </c>
      <c r="U41" s="9">
        <v>0</v>
      </c>
      <c r="V41" s="10" t="s">
        <v>204</v>
      </c>
      <c r="W41" s="16">
        <v>0</v>
      </c>
      <c r="X41" s="9">
        <v>0</v>
      </c>
      <c r="Y41" s="9">
        <v>0</v>
      </c>
      <c r="Z41" s="10" t="s">
        <v>204</v>
      </c>
      <c r="AA41" s="16">
        <v>0</v>
      </c>
      <c r="AB41" s="9">
        <v>0</v>
      </c>
      <c r="AC41" s="9">
        <v>0</v>
      </c>
      <c r="AD41" s="10" t="s">
        <v>204</v>
      </c>
      <c r="AE41" s="16">
        <v>0</v>
      </c>
      <c r="AF41" s="9">
        <v>0</v>
      </c>
      <c r="AG41" s="9">
        <v>0</v>
      </c>
      <c r="AH41" s="10" t="s">
        <v>204</v>
      </c>
      <c r="AI41" s="16">
        <v>0</v>
      </c>
      <c r="AJ41" s="9">
        <v>0</v>
      </c>
      <c r="AK41" s="9">
        <v>0</v>
      </c>
      <c r="AL41" s="10" t="s">
        <v>204</v>
      </c>
      <c r="AM41" s="16">
        <v>0</v>
      </c>
      <c r="AN41" s="9">
        <v>0</v>
      </c>
      <c r="AO41" s="9">
        <v>0</v>
      </c>
      <c r="AP41" s="10" t="s">
        <v>204</v>
      </c>
      <c r="AQ41" s="16">
        <v>0</v>
      </c>
      <c r="AR41" s="9">
        <v>0</v>
      </c>
      <c r="AS41" s="9">
        <v>0</v>
      </c>
      <c r="AT41" s="10" t="s">
        <v>204</v>
      </c>
      <c r="AU41" s="16">
        <v>0</v>
      </c>
      <c r="AV41" s="9">
        <v>0</v>
      </c>
      <c r="AW41" s="9">
        <v>0</v>
      </c>
      <c r="AX41" s="10" t="s">
        <v>204</v>
      </c>
      <c r="AY41" s="16">
        <v>0</v>
      </c>
      <c r="AZ41" s="9">
        <v>0</v>
      </c>
      <c r="BA41" s="9">
        <v>0</v>
      </c>
      <c r="BB41" s="10" t="s">
        <v>72</v>
      </c>
      <c r="BC41" s="12">
        <v>1000408637</v>
      </c>
      <c r="BD41" s="10" t="s">
        <v>205</v>
      </c>
    </row>
    <row r="42" spans="1:56" s="1" customFormat="1" ht="18" customHeight="1" x14ac:dyDescent="0.2">
      <c r="A42" s="12">
        <v>41</v>
      </c>
      <c r="B42" s="10" t="s">
        <v>64</v>
      </c>
      <c r="C42" s="10" t="s">
        <v>68</v>
      </c>
      <c r="D42" s="10" t="s">
        <v>85</v>
      </c>
      <c r="E42" s="10" t="s">
        <v>244</v>
      </c>
      <c r="F42" s="10" t="s">
        <v>274</v>
      </c>
      <c r="G42" s="10" t="s">
        <v>273</v>
      </c>
      <c r="H42" s="10" t="s">
        <v>74</v>
      </c>
      <c r="I42" s="12">
        <v>4</v>
      </c>
      <c r="J42" s="16">
        <v>449.24</v>
      </c>
      <c r="K42" s="16">
        <v>1796.96</v>
      </c>
      <c r="L42" s="31">
        <v>4.1109999999999998</v>
      </c>
      <c r="M42" s="16">
        <v>449.24</v>
      </c>
      <c r="N42" s="10" t="s">
        <v>204</v>
      </c>
      <c r="O42" s="16">
        <v>0</v>
      </c>
      <c r="P42" s="12">
        <v>0</v>
      </c>
      <c r="Q42" s="12">
        <v>0</v>
      </c>
      <c r="R42" s="10" t="s">
        <v>204</v>
      </c>
      <c r="S42" s="16">
        <v>0</v>
      </c>
      <c r="T42" s="9">
        <v>0</v>
      </c>
      <c r="U42" s="9">
        <v>0</v>
      </c>
      <c r="V42" s="10" t="s">
        <v>204</v>
      </c>
      <c r="W42" s="16">
        <v>0</v>
      </c>
      <c r="X42" s="9">
        <v>0</v>
      </c>
      <c r="Y42" s="9">
        <v>0</v>
      </c>
      <c r="Z42" s="10" t="s">
        <v>204</v>
      </c>
      <c r="AA42" s="16">
        <v>0</v>
      </c>
      <c r="AB42" s="9">
        <v>0</v>
      </c>
      <c r="AC42" s="9">
        <v>0</v>
      </c>
      <c r="AD42" s="10" t="s">
        <v>204</v>
      </c>
      <c r="AE42" s="16">
        <v>0</v>
      </c>
      <c r="AF42" s="9">
        <v>0</v>
      </c>
      <c r="AG42" s="9">
        <v>0</v>
      </c>
      <c r="AH42" s="10" t="s">
        <v>204</v>
      </c>
      <c r="AI42" s="16">
        <v>0</v>
      </c>
      <c r="AJ42" s="9">
        <v>0</v>
      </c>
      <c r="AK42" s="9">
        <v>0</v>
      </c>
      <c r="AL42" s="10" t="s">
        <v>204</v>
      </c>
      <c r="AM42" s="16">
        <v>0</v>
      </c>
      <c r="AN42" s="9">
        <v>0</v>
      </c>
      <c r="AO42" s="9">
        <v>0</v>
      </c>
      <c r="AP42" s="10" t="s">
        <v>204</v>
      </c>
      <c r="AQ42" s="16">
        <v>0</v>
      </c>
      <c r="AR42" s="9">
        <v>0</v>
      </c>
      <c r="AS42" s="9">
        <v>0</v>
      </c>
      <c r="AT42" s="10" t="s">
        <v>204</v>
      </c>
      <c r="AU42" s="16">
        <v>0</v>
      </c>
      <c r="AV42" s="9">
        <v>0</v>
      </c>
      <c r="AW42" s="9">
        <v>0</v>
      </c>
      <c r="AX42" s="10" t="s">
        <v>204</v>
      </c>
      <c r="AY42" s="16">
        <v>0</v>
      </c>
      <c r="AZ42" s="9">
        <v>0</v>
      </c>
      <c r="BA42" s="9">
        <v>0</v>
      </c>
      <c r="BB42" s="10" t="s">
        <v>72</v>
      </c>
      <c r="BC42" s="12">
        <v>1000408637</v>
      </c>
      <c r="BD42" s="10" t="s">
        <v>205</v>
      </c>
    </row>
    <row r="43" spans="1:56" s="1" customFormat="1" ht="18" customHeight="1" x14ac:dyDescent="0.2">
      <c r="A43" s="12">
        <v>42</v>
      </c>
      <c r="B43" s="10" t="s">
        <v>64</v>
      </c>
      <c r="C43" s="10" t="s">
        <v>68</v>
      </c>
      <c r="D43" s="10" t="s">
        <v>85</v>
      </c>
      <c r="E43" s="10" t="s">
        <v>275</v>
      </c>
      <c r="F43" s="10"/>
      <c r="G43" s="10" t="s">
        <v>276</v>
      </c>
      <c r="H43" s="10" t="s">
        <v>74</v>
      </c>
      <c r="I43" s="12">
        <v>2</v>
      </c>
      <c r="J43" s="16">
        <v>426.36</v>
      </c>
      <c r="K43" s="16">
        <v>852.72</v>
      </c>
      <c r="L43" s="31">
        <v>4.0810000000000004</v>
      </c>
      <c r="M43" s="16">
        <v>426.36</v>
      </c>
      <c r="N43" s="10" t="s">
        <v>204</v>
      </c>
      <c r="O43" s="16">
        <v>0</v>
      </c>
      <c r="P43" s="12">
        <v>0</v>
      </c>
      <c r="Q43" s="12">
        <v>0</v>
      </c>
      <c r="R43" s="10" t="s">
        <v>204</v>
      </c>
      <c r="S43" s="16">
        <v>0</v>
      </c>
      <c r="T43" s="9">
        <v>0</v>
      </c>
      <c r="U43" s="9">
        <v>0</v>
      </c>
      <c r="V43" s="10" t="s">
        <v>204</v>
      </c>
      <c r="W43" s="16">
        <v>0</v>
      </c>
      <c r="X43" s="9">
        <v>0</v>
      </c>
      <c r="Y43" s="9">
        <v>0</v>
      </c>
      <c r="Z43" s="10" t="s">
        <v>204</v>
      </c>
      <c r="AA43" s="16">
        <v>0</v>
      </c>
      <c r="AB43" s="9">
        <v>0</v>
      </c>
      <c r="AC43" s="9">
        <v>0</v>
      </c>
      <c r="AD43" s="10" t="s">
        <v>204</v>
      </c>
      <c r="AE43" s="16">
        <v>0</v>
      </c>
      <c r="AF43" s="9">
        <v>0</v>
      </c>
      <c r="AG43" s="9">
        <v>0</v>
      </c>
      <c r="AH43" s="10" t="s">
        <v>204</v>
      </c>
      <c r="AI43" s="16">
        <v>0</v>
      </c>
      <c r="AJ43" s="9">
        <v>0</v>
      </c>
      <c r="AK43" s="9">
        <v>0</v>
      </c>
      <c r="AL43" s="10" t="s">
        <v>204</v>
      </c>
      <c r="AM43" s="16">
        <v>0</v>
      </c>
      <c r="AN43" s="9">
        <v>0</v>
      </c>
      <c r="AO43" s="9">
        <v>0</v>
      </c>
      <c r="AP43" s="10" t="s">
        <v>204</v>
      </c>
      <c r="AQ43" s="16">
        <v>0</v>
      </c>
      <c r="AR43" s="9">
        <v>0</v>
      </c>
      <c r="AS43" s="9">
        <v>0</v>
      </c>
      <c r="AT43" s="10" t="s">
        <v>204</v>
      </c>
      <c r="AU43" s="16">
        <v>0</v>
      </c>
      <c r="AV43" s="9">
        <v>0</v>
      </c>
      <c r="AW43" s="9">
        <v>0</v>
      </c>
      <c r="AX43" s="10" t="s">
        <v>204</v>
      </c>
      <c r="AY43" s="16">
        <v>0</v>
      </c>
      <c r="AZ43" s="9">
        <v>0</v>
      </c>
      <c r="BA43" s="9">
        <v>0</v>
      </c>
      <c r="BB43" s="10" t="s">
        <v>72</v>
      </c>
      <c r="BC43" s="12">
        <v>1000407840</v>
      </c>
      <c r="BD43" s="10" t="s">
        <v>205</v>
      </c>
    </row>
    <row r="44" spans="1:56" s="1" customFormat="1" ht="18" customHeight="1" x14ac:dyDescent="0.2">
      <c r="A44" s="12">
        <v>43</v>
      </c>
      <c r="B44" s="10" t="s">
        <v>64</v>
      </c>
      <c r="C44" s="10" t="s">
        <v>68</v>
      </c>
      <c r="D44" s="10" t="s">
        <v>85</v>
      </c>
      <c r="E44" s="10" t="s">
        <v>277</v>
      </c>
      <c r="F44" s="10"/>
      <c r="G44" s="10" t="s">
        <v>248</v>
      </c>
      <c r="H44" s="10" t="s">
        <v>74</v>
      </c>
      <c r="I44" s="12">
        <v>1</v>
      </c>
      <c r="J44" s="16">
        <v>411.1</v>
      </c>
      <c r="K44" s="16">
        <v>411.1</v>
      </c>
      <c r="L44" s="31">
        <v>3.7629999999999999</v>
      </c>
      <c r="M44" s="16">
        <v>411.1</v>
      </c>
      <c r="N44" s="10" t="s">
        <v>204</v>
      </c>
      <c r="O44" s="16">
        <v>0</v>
      </c>
      <c r="P44" s="12">
        <v>0</v>
      </c>
      <c r="Q44" s="12">
        <v>0</v>
      </c>
      <c r="R44" s="10" t="s">
        <v>204</v>
      </c>
      <c r="S44" s="16">
        <v>0</v>
      </c>
      <c r="T44" s="9">
        <v>0</v>
      </c>
      <c r="U44" s="9">
        <v>0</v>
      </c>
      <c r="V44" s="10" t="s">
        <v>204</v>
      </c>
      <c r="W44" s="16">
        <v>0</v>
      </c>
      <c r="X44" s="9">
        <v>0</v>
      </c>
      <c r="Y44" s="9">
        <v>0</v>
      </c>
      <c r="Z44" s="10" t="s">
        <v>204</v>
      </c>
      <c r="AA44" s="16">
        <v>0</v>
      </c>
      <c r="AB44" s="9">
        <v>0</v>
      </c>
      <c r="AC44" s="9">
        <v>0</v>
      </c>
      <c r="AD44" s="10" t="s">
        <v>204</v>
      </c>
      <c r="AE44" s="16">
        <v>0</v>
      </c>
      <c r="AF44" s="9">
        <v>0</v>
      </c>
      <c r="AG44" s="9">
        <v>0</v>
      </c>
      <c r="AH44" s="10" t="s">
        <v>204</v>
      </c>
      <c r="AI44" s="16">
        <v>0</v>
      </c>
      <c r="AJ44" s="9">
        <v>0</v>
      </c>
      <c r="AK44" s="9">
        <v>0</v>
      </c>
      <c r="AL44" s="10" t="s">
        <v>204</v>
      </c>
      <c r="AM44" s="16">
        <v>0</v>
      </c>
      <c r="AN44" s="9">
        <v>0</v>
      </c>
      <c r="AO44" s="9">
        <v>0</v>
      </c>
      <c r="AP44" s="10" t="s">
        <v>204</v>
      </c>
      <c r="AQ44" s="16">
        <v>0</v>
      </c>
      <c r="AR44" s="9">
        <v>0</v>
      </c>
      <c r="AS44" s="9">
        <v>0</v>
      </c>
      <c r="AT44" s="10" t="s">
        <v>204</v>
      </c>
      <c r="AU44" s="16">
        <v>0</v>
      </c>
      <c r="AV44" s="9">
        <v>0</v>
      </c>
      <c r="AW44" s="9">
        <v>0</v>
      </c>
      <c r="AX44" s="10" t="s">
        <v>204</v>
      </c>
      <c r="AY44" s="16">
        <v>0</v>
      </c>
      <c r="AZ44" s="9">
        <v>0</v>
      </c>
      <c r="BA44" s="9">
        <v>0</v>
      </c>
      <c r="BB44" s="10" t="s">
        <v>72</v>
      </c>
      <c r="BC44" s="12">
        <v>1000403660</v>
      </c>
      <c r="BD44" s="10" t="s">
        <v>205</v>
      </c>
    </row>
    <row r="45" spans="1:56" s="1" customFormat="1" ht="18" customHeight="1" x14ac:dyDescent="0.2">
      <c r="A45" s="12">
        <v>44</v>
      </c>
      <c r="B45" s="10" t="s">
        <v>64</v>
      </c>
      <c r="C45" s="10" t="s">
        <v>68</v>
      </c>
      <c r="D45" s="10" t="s">
        <v>85</v>
      </c>
      <c r="E45" s="10" t="s">
        <v>278</v>
      </c>
      <c r="F45" s="10"/>
      <c r="G45" s="10" t="s">
        <v>248</v>
      </c>
      <c r="H45" s="10" t="s">
        <v>74</v>
      </c>
      <c r="I45" s="12">
        <v>2</v>
      </c>
      <c r="J45" s="16">
        <v>411.1</v>
      </c>
      <c r="K45" s="16">
        <v>822.2</v>
      </c>
      <c r="L45" s="31">
        <v>3.734</v>
      </c>
      <c r="M45" s="16">
        <v>411.1</v>
      </c>
      <c r="N45" s="10" t="s">
        <v>204</v>
      </c>
      <c r="O45" s="16">
        <v>0</v>
      </c>
      <c r="P45" s="12">
        <v>0</v>
      </c>
      <c r="Q45" s="12">
        <v>0</v>
      </c>
      <c r="R45" s="10" t="s">
        <v>204</v>
      </c>
      <c r="S45" s="16">
        <v>0</v>
      </c>
      <c r="T45" s="9">
        <v>0</v>
      </c>
      <c r="U45" s="9">
        <v>0</v>
      </c>
      <c r="V45" s="10" t="s">
        <v>204</v>
      </c>
      <c r="W45" s="16">
        <v>0</v>
      </c>
      <c r="X45" s="9">
        <v>0</v>
      </c>
      <c r="Y45" s="9">
        <v>0</v>
      </c>
      <c r="Z45" s="10" t="s">
        <v>204</v>
      </c>
      <c r="AA45" s="16">
        <v>0</v>
      </c>
      <c r="AB45" s="9">
        <v>0</v>
      </c>
      <c r="AC45" s="9">
        <v>0</v>
      </c>
      <c r="AD45" s="10" t="s">
        <v>204</v>
      </c>
      <c r="AE45" s="16">
        <v>0</v>
      </c>
      <c r="AF45" s="9">
        <v>0</v>
      </c>
      <c r="AG45" s="9">
        <v>0</v>
      </c>
      <c r="AH45" s="10" t="s">
        <v>204</v>
      </c>
      <c r="AI45" s="16">
        <v>0</v>
      </c>
      <c r="AJ45" s="9">
        <v>0</v>
      </c>
      <c r="AK45" s="9">
        <v>0</v>
      </c>
      <c r="AL45" s="10" t="s">
        <v>204</v>
      </c>
      <c r="AM45" s="16">
        <v>0</v>
      </c>
      <c r="AN45" s="9">
        <v>0</v>
      </c>
      <c r="AO45" s="9">
        <v>0</v>
      </c>
      <c r="AP45" s="10" t="s">
        <v>204</v>
      </c>
      <c r="AQ45" s="16">
        <v>0</v>
      </c>
      <c r="AR45" s="9">
        <v>0</v>
      </c>
      <c r="AS45" s="9">
        <v>0</v>
      </c>
      <c r="AT45" s="10" t="s">
        <v>204</v>
      </c>
      <c r="AU45" s="16">
        <v>0</v>
      </c>
      <c r="AV45" s="9">
        <v>0</v>
      </c>
      <c r="AW45" s="9">
        <v>0</v>
      </c>
      <c r="AX45" s="10" t="s">
        <v>204</v>
      </c>
      <c r="AY45" s="16">
        <v>0</v>
      </c>
      <c r="AZ45" s="9">
        <v>0</v>
      </c>
      <c r="BA45" s="9">
        <v>0</v>
      </c>
      <c r="BB45" s="10" t="s">
        <v>72</v>
      </c>
      <c r="BC45" s="12">
        <v>1000403660</v>
      </c>
      <c r="BD45" s="10" t="s">
        <v>205</v>
      </c>
    </row>
    <row r="46" spans="1:56" s="1" customFormat="1" ht="18" customHeight="1" x14ac:dyDescent="0.2">
      <c r="A46" s="12">
        <v>45</v>
      </c>
      <c r="B46" s="10" t="s">
        <v>64</v>
      </c>
      <c r="C46" s="10" t="s">
        <v>68</v>
      </c>
      <c r="D46" s="10" t="s">
        <v>85</v>
      </c>
      <c r="E46" s="10" t="s">
        <v>247</v>
      </c>
      <c r="F46" s="10"/>
      <c r="G46" s="10" t="s">
        <v>248</v>
      </c>
      <c r="H46" s="10" t="s">
        <v>74</v>
      </c>
      <c r="I46" s="12">
        <v>1</v>
      </c>
      <c r="J46" s="16">
        <v>411.1</v>
      </c>
      <c r="K46" s="16">
        <v>411.1</v>
      </c>
      <c r="L46" s="31">
        <v>3.6960000000000002</v>
      </c>
      <c r="M46" s="16">
        <v>411.1</v>
      </c>
      <c r="N46" s="10" t="s">
        <v>204</v>
      </c>
      <c r="O46" s="16">
        <v>0</v>
      </c>
      <c r="P46" s="12">
        <v>0</v>
      </c>
      <c r="Q46" s="12">
        <v>0</v>
      </c>
      <c r="R46" s="10" t="s">
        <v>204</v>
      </c>
      <c r="S46" s="16">
        <v>0</v>
      </c>
      <c r="T46" s="9">
        <v>0</v>
      </c>
      <c r="U46" s="9">
        <v>0</v>
      </c>
      <c r="V46" s="10" t="s">
        <v>204</v>
      </c>
      <c r="W46" s="16">
        <v>0</v>
      </c>
      <c r="X46" s="9">
        <v>0</v>
      </c>
      <c r="Y46" s="9">
        <v>0</v>
      </c>
      <c r="Z46" s="10" t="s">
        <v>204</v>
      </c>
      <c r="AA46" s="16">
        <v>0</v>
      </c>
      <c r="AB46" s="9">
        <v>0</v>
      </c>
      <c r="AC46" s="9">
        <v>0</v>
      </c>
      <c r="AD46" s="10" t="s">
        <v>204</v>
      </c>
      <c r="AE46" s="16">
        <v>0</v>
      </c>
      <c r="AF46" s="9">
        <v>0</v>
      </c>
      <c r="AG46" s="9">
        <v>0</v>
      </c>
      <c r="AH46" s="10" t="s">
        <v>204</v>
      </c>
      <c r="AI46" s="16">
        <v>0</v>
      </c>
      <c r="AJ46" s="9">
        <v>0</v>
      </c>
      <c r="AK46" s="9">
        <v>0</v>
      </c>
      <c r="AL46" s="10" t="s">
        <v>204</v>
      </c>
      <c r="AM46" s="16">
        <v>0</v>
      </c>
      <c r="AN46" s="9">
        <v>0</v>
      </c>
      <c r="AO46" s="9">
        <v>0</v>
      </c>
      <c r="AP46" s="10" t="s">
        <v>204</v>
      </c>
      <c r="AQ46" s="16">
        <v>0</v>
      </c>
      <c r="AR46" s="9">
        <v>0</v>
      </c>
      <c r="AS46" s="9">
        <v>0</v>
      </c>
      <c r="AT46" s="10" t="s">
        <v>204</v>
      </c>
      <c r="AU46" s="16">
        <v>0</v>
      </c>
      <c r="AV46" s="9">
        <v>0</v>
      </c>
      <c r="AW46" s="9">
        <v>0</v>
      </c>
      <c r="AX46" s="10" t="s">
        <v>204</v>
      </c>
      <c r="AY46" s="16">
        <v>0</v>
      </c>
      <c r="AZ46" s="9">
        <v>0</v>
      </c>
      <c r="BA46" s="9">
        <v>0</v>
      </c>
      <c r="BB46" s="10" t="s">
        <v>72</v>
      </c>
      <c r="BC46" s="12">
        <v>1000403660</v>
      </c>
      <c r="BD46" s="10" t="s">
        <v>205</v>
      </c>
    </row>
    <row r="47" spans="1:56" s="1" customFormat="1" ht="18" customHeight="1" x14ac:dyDescent="0.2">
      <c r="A47" s="12">
        <v>46</v>
      </c>
      <c r="B47" s="10" t="s">
        <v>64</v>
      </c>
      <c r="C47" s="10" t="s">
        <v>68</v>
      </c>
      <c r="D47" s="10" t="s">
        <v>85</v>
      </c>
      <c r="E47" s="10" t="s">
        <v>249</v>
      </c>
      <c r="F47" s="10"/>
      <c r="G47" s="10" t="s">
        <v>279</v>
      </c>
      <c r="H47" s="10" t="s">
        <v>74</v>
      </c>
      <c r="I47" s="12">
        <v>9</v>
      </c>
      <c r="J47" s="16">
        <v>418.73</v>
      </c>
      <c r="K47" s="16">
        <v>3768.57</v>
      </c>
      <c r="L47" s="31">
        <v>3.6520000000000001</v>
      </c>
      <c r="M47" s="16">
        <v>418.73</v>
      </c>
      <c r="N47" s="10" t="s">
        <v>204</v>
      </c>
      <c r="O47" s="16">
        <v>0</v>
      </c>
      <c r="P47" s="12">
        <v>0</v>
      </c>
      <c r="Q47" s="12">
        <v>0</v>
      </c>
      <c r="R47" s="10" t="s">
        <v>204</v>
      </c>
      <c r="S47" s="16">
        <v>0</v>
      </c>
      <c r="T47" s="9">
        <v>0</v>
      </c>
      <c r="U47" s="9">
        <v>0</v>
      </c>
      <c r="V47" s="10" t="s">
        <v>204</v>
      </c>
      <c r="W47" s="16">
        <v>0</v>
      </c>
      <c r="X47" s="9">
        <v>0</v>
      </c>
      <c r="Y47" s="9">
        <v>0</v>
      </c>
      <c r="Z47" s="10" t="s">
        <v>204</v>
      </c>
      <c r="AA47" s="16">
        <v>0</v>
      </c>
      <c r="AB47" s="9">
        <v>0</v>
      </c>
      <c r="AC47" s="9">
        <v>0</v>
      </c>
      <c r="AD47" s="10" t="s">
        <v>204</v>
      </c>
      <c r="AE47" s="16">
        <v>0</v>
      </c>
      <c r="AF47" s="9">
        <v>0</v>
      </c>
      <c r="AG47" s="9">
        <v>0</v>
      </c>
      <c r="AH47" s="10" t="s">
        <v>204</v>
      </c>
      <c r="AI47" s="16">
        <v>0</v>
      </c>
      <c r="AJ47" s="9">
        <v>0</v>
      </c>
      <c r="AK47" s="9">
        <v>0</v>
      </c>
      <c r="AL47" s="10" t="s">
        <v>204</v>
      </c>
      <c r="AM47" s="16">
        <v>0</v>
      </c>
      <c r="AN47" s="9">
        <v>0</v>
      </c>
      <c r="AO47" s="9">
        <v>0</v>
      </c>
      <c r="AP47" s="10" t="s">
        <v>204</v>
      </c>
      <c r="AQ47" s="16">
        <v>0</v>
      </c>
      <c r="AR47" s="9">
        <v>0</v>
      </c>
      <c r="AS47" s="9">
        <v>0</v>
      </c>
      <c r="AT47" s="10" t="s">
        <v>204</v>
      </c>
      <c r="AU47" s="16">
        <v>0</v>
      </c>
      <c r="AV47" s="9">
        <v>0</v>
      </c>
      <c r="AW47" s="9">
        <v>0</v>
      </c>
      <c r="AX47" s="10" t="s">
        <v>204</v>
      </c>
      <c r="AY47" s="16">
        <v>0</v>
      </c>
      <c r="AZ47" s="9">
        <v>0</v>
      </c>
      <c r="BA47" s="9">
        <v>0</v>
      </c>
      <c r="BB47" s="10" t="s">
        <v>72</v>
      </c>
      <c r="BC47" s="12">
        <v>1000402635</v>
      </c>
      <c r="BD47" s="10" t="s">
        <v>205</v>
      </c>
    </row>
    <row r="48" spans="1:56" s="1" customFormat="1" ht="18" customHeight="1" x14ac:dyDescent="0.2">
      <c r="A48" s="12">
        <v>47</v>
      </c>
      <c r="B48" s="10" t="s">
        <v>64</v>
      </c>
      <c r="C48" s="10" t="s">
        <v>68</v>
      </c>
      <c r="D48" s="10" t="s">
        <v>85</v>
      </c>
      <c r="E48" s="10" t="s">
        <v>251</v>
      </c>
      <c r="F48" s="10" t="s">
        <v>280</v>
      </c>
      <c r="G48" s="10" t="s">
        <v>279</v>
      </c>
      <c r="H48" s="10" t="s">
        <v>74</v>
      </c>
      <c r="I48" s="12">
        <v>1</v>
      </c>
      <c r="J48" s="16">
        <v>418.73</v>
      </c>
      <c r="K48" s="16">
        <v>418.73</v>
      </c>
      <c r="L48" s="31">
        <v>3.6549999999999998</v>
      </c>
      <c r="M48" s="16">
        <v>418.73</v>
      </c>
      <c r="N48" s="10" t="s">
        <v>204</v>
      </c>
      <c r="O48" s="16">
        <v>0</v>
      </c>
      <c r="P48" s="12">
        <v>0</v>
      </c>
      <c r="Q48" s="12">
        <v>0</v>
      </c>
      <c r="R48" s="10" t="s">
        <v>204</v>
      </c>
      <c r="S48" s="16">
        <v>0</v>
      </c>
      <c r="T48" s="9">
        <v>0</v>
      </c>
      <c r="U48" s="9">
        <v>0</v>
      </c>
      <c r="V48" s="10" t="s">
        <v>204</v>
      </c>
      <c r="W48" s="16">
        <v>0</v>
      </c>
      <c r="X48" s="9">
        <v>0</v>
      </c>
      <c r="Y48" s="9">
        <v>0</v>
      </c>
      <c r="Z48" s="10" t="s">
        <v>204</v>
      </c>
      <c r="AA48" s="16">
        <v>0</v>
      </c>
      <c r="AB48" s="9">
        <v>0</v>
      </c>
      <c r="AC48" s="9">
        <v>0</v>
      </c>
      <c r="AD48" s="10" t="s">
        <v>204</v>
      </c>
      <c r="AE48" s="16">
        <v>0</v>
      </c>
      <c r="AF48" s="9">
        <v>0</v>
      </c>
      <c r="AG48" s="9">
        <v>0</v>
      </c>
      <c r="AH48" s="10" t="s">
        <v>204</v>
      </c>
      <c r="AI48" s="16">
        <v>0</v>
      </c>
      <c r="AJ48" s="9">
        <v>0</v>
      </c>
      <c r="AK48" s="9">
        <v>0</v>
      </c>
      <c r="AL48" s="10" t="s">
        <v>204</v>
      </c>
      <c r="AM48" s="16">
        <v>0</v>
      </c>
      <c r="AN48" s="9">
        <v>0</v>
      </c>
      <c r="AO48" s="9">
        <v>0</v>
      </c>
      <c r="AP48" s="10" t="s">
        <v>204</v>
      </c>
      <c r="AQ48" s="16">
        <v>0</v>
      </c>
      <c r="AR48" s="9">
        <v>0</v>
      </c>
      <c r="AS48" s="9">
        <v>0</v>
      </c>
      <c r="AT48" s="10" t="s">
        <v>204</v>
      </c>
      <c r="AU48" s="16">
        <v>0</v>
      </c>
      <c r="AV48" s="9">
        <v>0</v>
      </c>
      <c r="AW48" s="9">
        <v>0</v>
      </c>
      <c r="AX48" s="10" t="s">
        <v>204</v>
      </c>
      <c r="AY48" s="16">
        <v>0</v>
      </c>
      <c r="AZ48" s="9">
        <v>0</v>
      </c>
      <c r="BA48" s="9">
        <v>0</v>
      </c>
      <c r="BB48" s="10" t="s">
        <v>72</v>
      </c>
      <c r="BC48" s="12">
        <v>1000402644</v>
      </c>
      <c r="BD48" s="10" t="s">
        <v>205</v>
      </c>
    </row>
    <row r="49" spans="1:56" s="1" customFormat="1" ht="18" customHeight="1" x14ac:dyDescent="0.2">
      <c r="A49" s="12">
        <v>48</v>
      </c>
      <c r="B49" s="10" t="s">
        <v>64</v>
      </c>
      <c r="C49" s="10" t="s">
        <v>68</v>
      </c>
      <c r="D49" s="10" t="s">
        <v>85</v>
      </c>
      <c r="E49" s="10" t="s">
        <v>281</v>
      </c>
      <c r="F49" s="10"/>
      <c r="G49" s="10" t="s">
        <v>282</v>
      </c>
      <c r="H49" s="10" t="s">
        <v>74</v>
      </c>
      <c r="I49" s="12">
        <v>2</v>
      </c>
      <c r="J49" s="16">
        <v>418.73</v>
      </c>
      <c r="K49" s="16">
        <v>837.46</v>
      </c>
      <c r="L49" s="31">
        <v>3.613</v>
      </c>
      <c r="M49" s="16">
        <v>418.73</v>
      </c>
      <c r="N49" s="10" t="s">
        <v>204</v>
      </c>
      <c r="O49" s="16">
        <v>0</v>
      </c>
      <c r="P49" s="12">
        <v>0</v>
      </c>
      <c r="Q49" s="12">
        <v>0</v>
      </c>
      <c r="R49" s="10" t="s">
        <v>204</v>
      </c>
      <c r="S49" s="16">
        <v>0</v>
      </c>
      <c r="T49" s="9">
        <v>0</v>
      </c>
      <c r="U49" s="9">
        <v>0</v>
      </c>
      <c r="V49" s="10" t="s">
        <v>204</v>
      </c>
      <c r="W49" s="16">
        <v>0</v>
      </c>
      <c r="X49" s="9">
        <v>0</v>
      </c>
      <c r="Y49" s="9">
        <v>0</v>
      </c>
      <c r="Z49" s="10" t="s">
        <v>204</v>
      </c>
      <c r="AA49" s="16">
        <v>0</v>
      </c>
      <c r="AB49" s="9">
        <v>0</v>
      </c>
      <c r="AC49" s="9">
        <v>0</v>
      </c>
      <c r="AD49" s="10" t="s">
        <v>204</v>
      </c>
      <c r="AE49" s="16">
        <v>0</v>
      </c>
      <c r="AF49" s="9">
        <v>0</v>
      </c>
      <c r="AG49" s="9">
        <v>0</v>
      </c>
      <c r="AH49" s="10" t="s">
        <v>204</v>
      </c>
      <c r="AI49" s="16">
        <v>0</v>
      </c>
      <c r="AJ49" s="9">
        <v>0</v>
      </c>
      <c r="AK49" s="9">
        <v>0</v>
      </c>
      <c r="AL49" s="10" t="s">
        <v>204</v>
      </c>
      <c r="AM49" s="16">
        <v>0</v>
      </c>
      <c r="AN49" s="9">
        <v>0</v>
      </c>
      <c r="AO49" s="9">
        <v>0</v>
      </c>
      <c r="AP49" s="10" t="s">
        <v>204</v>
      </c>
      <c r="AQ49" s="16">
        <v>0</v>
      </c>
      <c r="AR49" s="9">
        <v>0</v>
      </c>
      <c r="AS49" s="9">
        <v>0</v>
      </c>
      <c r="AT49" s="10" t="s">
        <v>204</v>
      </c>
      <c r="AU49" s="16">
        <v>0</v>
      </c>
      <c r="AV49" s="9">
        <v>0</v>
      </c>
      <c r="AW49" s="9">
        <v>0</v>
      </c>
      <c r="AX49" s="10" t="s">
        <v>204</v>
      </c>
      <c r="AY49" s="16">
        <v>0</v>
      </c>
      <c r="AZ49" s="9">
        <v>0</v>
      </c>
      <c r="BA49" s="9">
        <v>0</v>
      </c>
      <c r="BB49" s="10" t="s">
        <v>72</v>
      </c>
      <c r="BC49" s="12">
        <v>1000400701</v>
      </c>
      <c r="BD49" s="10" t="s">
        <v>205</v>
      </c>
    </row>
    <row r="50" spans="1:56" s="1" customFormat="1" ht="18" customHeight="1" x14ac:dyDescent="0.2">
      <c r="A50" s="12">
        <v>49</v>
      </c>
      <c r="B50" s="10" t="s">
        <v>64</v>
      </c>
      <c r="C50" s="10" t="s">
        <v>68</v>
      </c>
      <c r="D50" s="10" t="s">
        <v>69</v>
      </c>
      <c r="E50" s="10" t="s">
        <v>283</v>
      </c>
      <c r="F50" s="10"/>
      <c r="G50" s="10" t="s">
        <v>284</v>
      </c>
      <c r="H50" s="10" t="s">
        <v>74</v>
      </c>
      <c r="I50" s="12">
        <v>44</v>
      </c>
      <c r="J50" s="16">
        <v>1944.15</v>
      </c>
      <c r="K50" s="16">
        <v>85542.6</v>
      </c>
      <c r="L50" s="31">
        <v>3.847</v>
      </c>
      <c r="M50" s="16">
        <v>1944.15</v>
      </c>
      <c r="N50" s="10" t="s">
        <v>467</v>
      </c>
      <c r="O50" s="16">
        <v>1944.15</v>
      </c>
      <c r="P50" s="12">
        <v>8</v>
      </c>
      <c r="Q50" s="12">
        <v>18</v>
      </c>
      <c r="R50" s="10" t="s">
        <v>204</v>
      </c>
      <c r="S50" s="16">
        <v>0</v>
      </c>
      <c r="T50" s="9">
        <v>0</v>
      </c>
      <c r="U50" s="9">
        <v>0</v>
      </c>
      <c r="V50" s="10" t="s">
        <v>204</v>
      </c>
      <c r="W50" s="16">
        <v>0</v>
      </c>
      <c r="X50" s="9">
        <v>0</v>
      </c>
      <c r="Y50" s="9">
        <v>0</v>
      </c>
      <c r="Z50" s="10" t="s">
        <v>204</v>
      </c>
      <c r="AA50" s="16">
        <v>0</v>
      </c>
      <c r="AB50" s="9">
        <v>0</v>
      </c>
      <c r="AC50" s="9">
        <v>0</v>
      </c>
      <c r="AD50" s="10" t="s">
        <v>204</v>
      </c>
      <c r="AE50" s="16">
        <v>0</v>
      </c>
      <c r="AF50" s="9">
        <v>0</v>
      </c>
      <c r="AG50" s="9">
        <v>0</v>
      </c>
      <c r="AH50" s="10" t="s">
        <v>204</v>
      </c>
      <c r="AI50" s="16">
        <v>0</v>
      </c>
      <c r="AJ50" s="9">
        <v>0</v>
      </c>
      <c r="AK50" s="9">
        <v>0</v>
      </c>
      <c r="AL50" s="10" t="s">
        <v>204</v>
      </c>
      <c r="AM50" s="16">
        <v>0</v>
      </c>
      <c r="AN50" s="9">
        <v>0</v>
      </c>
      <c r="AO50" s="9">
        <v>0</v>
      </c>
      <c r="AP50" s="10" t="s">
        <v>204</v>
      </c>
      <c r="AQ50" s="16">
        <v>0</v>
      </c>
      <c r="AR50" s="9">
        <v>0</v>
      </c>
      <c r="AS50" s="9">
        <v>0</v>
      </c>
      <c r="AT50" s="10" t="s">
        <v>204</v>
      </c>
      <c r="AU50" s="16">
        <v>0</v>
      </c>
      <c r="AV50" s="9">
        <v>0</v>
      </c>
      <c r="AW50" s="9">
        <v>0</v>
      </c>
      <c r="AX50" s="10" t="s">
        <v>204</v>
      </c>
      <c r="AY50" s="16">
        <v>0</v>
      </c>
      <c r="AZ50" s="9">
        <v>0</v>
      </c>
      <c r="BA50" s="9">
        <v>0</v>
      </c>
      <c r="BB50" s="10" t="s">
        <v>72</v>
      </c>
      <c r="BC50" s="12">
        <v>1000421866</v>
      </c>
      <c r="BD50" s="10" t="s">
        <v>205</v>
      </c>
    </row>
    <row r="51" spans="1:56" s="1" customFormat="1" ht="18" customHeight="1" x14ac:dyDescent="0.2">
      <c r="A51" s="12">
        <v>50</v>
      </c>
      <c r="B51" s="10" t="s">
        <v>64</v>
      </c>
      <c r="C51" s="10" t="s">
        <v>68</v>
      </c>
      <c r="D51" s="10" t="s">
        <v>69</v>
      </c>
      <c r="E51" s="10" t="s">
        <v>283</v>
      </c>
      <c r="F51" s="10"/>
      <c r="G51" s="10" t="s">
        <v>284</v>
      </c>
      <c r="H51" s="10" t="s">
        <v>74</v>
      </c>
      <c r="I51" s="12">
        <v>-5</v>
      </c>
      <c r="J51" s="16">
        <v>1944.15</v>
      </c>
      <c r="K51" s="16">
        <v>-9720.75</v>
      </c>
      <c r="L51" s="31">
        <v>3.847</v>
      </c>
      <c r="M51" s="16">
        <v>1944.15</v>
      </c>
      <c r="N51" s="10" t="s">
        <v>204</v>
      </c>
      <c r="O51" s="16">
        <v>0</v>
      </c>
      <c r="P51" s="12">
        <v>0</v>
      </c>
      <c r="Q51" s="12">
        <v>0</v>
      </c>
      <c r="R51" s="10" t="s">
        <v>204</v>
      </c>
      <c r="S51" s="16">
        <v>0</v>
      </c>
      <c r="T51" s="9">
        <v>0</v>
      </c>
      <c r="U51" s="9">
        <v>0</v>
      </c>
      <c r="V51" s="10" t="s">
        <v>204</v>
      </c>
      <c r="W51" s="16">
        <v>0</v>
      </c>
      <c r="X51" s="9">
        <v>0</v>
      </c>
      <c r="Y51" s="9">
        <v>0</v>
      </c>
      <c r="Z51" s="10" t="s">
        <v>204</v>
      </c>
      <c r="AA51" s="16">
        <v>0</v>
      </c>
      <c r="AB51" s="9">
        <v>0</v>
      </c>
      <c r="AC51" s="9">
        <v>0</v>
      </c>
      <c r="AD51" s="10" t="s">
        <v>204</v>
      </c>
      <c r="AE51" s="16">
        <v>0</v>
      </c>
      <c r="AF51" s="9">
        <v>0</v>
      </c>
      <c r="AG51" s="9">
        <v>0</v>
      </c>
      <c r="AH51" s="10" t="s">
        <v>204</v>
      </c>
      <c r="AI51" s="16">
        <v>0</v>
      </c>
      <c r="AJ51" s="9">
        <v>0</v>
      </c>
      <c r="AK51" s="9">
        <v>0</v>
      </c>
      <c r="AL51" s="10" t="s">
        <v>204</v>
      </c>
      <c r="AM51" s="16">
        <v>0</v>
      </c>
      <c r="AN51" s="9">
        <v>0</v>
      </c>
      <c r="AO51" s="9">
        <v>0</v>
      </c>
      <c r="AP51" s="10" t="s">
        <v>204</v>
      </c>
      <c r="AQ51" s="16">
        <v>0</v>
      </c>
      <c r="AR51" s="9">
        <v>0</v>
      </c>
      <c r="AS51" s="9">
        <v>0</v>
      </c>
      <c r="AT51" s="10" t="s">
        <v>204</v>
      </c>
      <c r="AU51" s="16">
        <v>0</v>
      </c>
      <c r="AV51" s="9">
        <v>0</v>
      </c>
      <c r="AW51" s="9">
        <v>0</v>
      </c>
      <c r="AX51" s="10" t="s">
        <v>204</v>
      </c>
      <c r="AY51" s="16">
        <v>0</v>
      </c>
      <c r="AZ51" s="9">
        <v>0</v>
      </c>
      <c r="BA51" s="9">
        <v>0</v>
      </c>
      <c r="BB51" s="10" t="s">
        <v>72</v>
      </c>
      <c r="BC51" s="12">
        <v>3000027355</v>
      </c>
      <c r="BD51" s="10" t="s">
        <v>233</v>
      </c>
    </row>
    <row r="52" spans="1:56" s="1" customFormat="1" ht="18" customHeight="1" x14ac:dyDescent="0.2">
      <c r="A52" s="12">
        <v>51</v>
      </c>
      <c r="B52" s="10" t="s">
        <v>64</v>
      </c>
      <c r="C52" s="10" t="s">
        <v>68</v>
      </c>
      <c r="D52" s="10" t="s">
        <v>69</v>
      </c>
      <c r="E52" s="10" t="s">
        <v>285</v>
      </c>
      <c r="F52" s="10" t="s">
        <v>286</v>
      </c>
      <c r="G52" s="10" t="s">
        <v>287</v>
      </c>
      <c r="H52" s="10" t="s">
        <v>74</v>
      </c>
      <c r="I52" s="12">
        <v>15</v>
      </c>
      <c r="J52" s="16">
        <v>1753.47</v>
      </c>
      <c r="K52" s="16">
        <v>26302.05</v>
      </c>
      <c r="L52" s="31">
        <v>3.9239999999999999</v>
      </c>
      <c r="M52" s="16">
        <v>1753.47</v>
      </c>
      <c r="N52" s="10" t="s">
        <v>204</v>
      </c>
      <c r="O52" s="16">
        <v>0</v>
      </c>
      <c r="P52" s="12">
        <v>0</v>
      </c>
      <c r="Q52" s="12">
        <v>0</v>
      </c>
      <c r="R52" s="10" t="s">
        <v>204</v>
      </c>
      <c r="S52" s="16">
        <v>0</v>
      </c>
      <c r="T52" s="9">
        <v>0</v>
      </c>
      <c r="U52" s="9">
        <v>0</v>
      </c>
      <c r="V52" s="10" t="s">
        <v>204</v>
      </c>
      <c r="W52" s="16">
        <v>0</v>
      </c>
      <c r="X52" s="9">
        <v>0</v>
      </c>
      <c r="Y52" s="9">
        <v>0</v>
      </c>
      <c r="Z52" s="10" t="s">
        <v>204</v>
      </c>
      <c r="AA52" s="16">
        <v>0</v>
      </c>
      <c r="AB52" s="9">
        <v>0</v>
      </c>
      <c r="AC52" s="9">
        <v>0</v>
      </c>
      <c r="AD52" s="10" t="s">
        <v>204</v>
      </c>
      <c r="AE52" s="16">
        <v>0</v>
      </c>
      <c r="AF52" s="9">
        <v>0</v>
      </c>
      <c r="AG52" s="9">
        <v>0</v>
      </c>
      <c r="AH52" s="10" t="s">
        <v>204</v>
      </c>
      <c r="AI52" s="16">
        <v>0</v>
      </c>
      <c r="AJ52" s="9">
        <v>0</v>
      </c>
      <c r="AK52" s="9">
        <v>0</v>
      </c>
      <c r="AL52" s="10" t="s">
        <v>204</v>
      </c>
      <c r="AM52" s="16">
        <v>0</v>
      </c>
      <c r="AN52" s="9">
        <v>0</v>
      </c>
      <c r="AO52" s="9">
        <v>0</v>
      </c>
      <c r="AP52" s="10" t="s">
        <v>204</v>
      </c>
      <c r="AQ52" s="16">
        <v>0</v>
      </c>
      <c r="AR52" s="9">
        <v>0</v>
      </c>
      <c r="AS52" s="9">
        <v>0</v>
      </c>
      <c r="AT52" s="10" t="s">
        <v>204</v>
      </c>
      <c r="AU52" s="16">
        <v>0</v>
      </c>
      <c r="AV52" s="9">
        <v>0</v>
      </c>
      <c r="AW52" s="9">
        <v>0</v>
      </c>
      <c r="AX52" s="10" t="s">
        <v>204</v>
      </c>
      <c r="AY52" s="16">
        <v>0</v>
      </c>
      <c r="AZ52" s="9">
        <v>0</v>
      </c>
      <c r="BA52" s="9">
        <v>0</v>
      </c>
      <c r="BB52" s="10" t="s">
        <v>72</v>
      </c>
      <c r="BC52" s="12">
        <v>1000407571</v>
      </c>
      <c r="BD52" s="10" t="s">
        <v>205</v>
      </c>
    </row>
    <row r="53" spans="1:56" s="1" customFormat="1" ht="18" customHeight="1" x14ac:dyDescent="0.2">
      <c r="A53" s="12">
        <v>52</v>
      </c>
      <c r="B53" s="10" t="s">
        <v>64</v>
      </c>
      <c r="C53" s="10" t="s">
        <v>68</v>
      </c>
      <c r="D53" s="10" t="s">
        <v>69</v>
      </c>
      <c r="E53" s="10" t="s">
        <v>288</v>
      </c>
      <c r="F53" s="10"/>
      <c r="G53" s="10" t="s">
        <v>248</v>
      </c>
      <c r="H53" s="10" t="s">
        <v>74</v>
      </c>
      <c r="I53" s="12">
        <v>1</v>
      </c>
      <c r="J53" s="16">
        <v>1751.8</v>
      </c>
      <c r="K53" s="16">
        <v>1751.8</v>
      </c>
      <c r="L53" s="31">
        <v>3.6240000000000001</v>
      </c>
      <c r="M53" s="16">
        <v>1751.8</v>
      </c>
      <c r="N53" s="10" t="s">
        <v>204</v>
      </c>
      <c r="O53" s="16">
        <v>0</v>
      </c>
      <c r="P53" s="12">
        <v>0</v>
      </c>
      <c r="Q53" s="12">
        <v>0</v>
      </c>
      <c r="R53" s="10" t="s">
        <v>204</v>
      </c>
      <c r="S53" s="16">
        <v>0</v>
      </c>
      <c r="T53" s="9">
        <v>0</v>
      </c>
      <c r="U53" s="9">
        <v>0</v>
      </c>
      <c r="V53" s="10" t="s">
        <v>204</v>
      </c>
      <c r="W53" s="16">
        <v>0</v>
      </c>
      <c r="X53" s="9">
        <v>0</v>
      </c>
      <c r="Y53" s="9">
        <v>0</v>
      </c>
      <c r="Z53" s="10" t="s">
        <v>204</v>
      </c>
      <c r="AA53" s="16">
        <v>0</v>
      </c>
      <c r="AB53" s="9">
        <v>0</v>
      </c>
      <c r="AC53" s="9">
        <v>0</v>
      </c>
      <c r="AD53" s="10" t="s">
        <v>204</v>
      </c>
      <c r="AE53" s="16">
        <v>0</v>
      </c>
      <c r="AF53" s="9">
        <v>0</v>
      </c>
      <c r="AG53" s="9">
        <v>0</v>
      </c>
      <c r="AH53" s="10" t="s">
        <v>204</v>
      </c>
      <c r="AI53" s="16">
        <v>0</v>
      </c>
      <c r="AJ53" s="9">
        <v>0</v>
      </c>
      <c r="AK53" s="9">
        <v>0</v>
      </c>
      <c r="AL53" s="10" t="s">
        <v>204</v>
      </c>
      <c r="AM53" s="16">
        <v>0</v>
      </c>
      <c r="AN53" s="9">
        <v>0</v>
      </c>
      <c r="AO53" s="9">
        <v>0</v>
      </c>
      <c r="AP53" s="10" t="s">
        <v>204</v>
      </c>
      <c r="AQ53" s="16">
        <v>0</v>
      </c>
      <c r="AR53" s="9">
        <v>0</v>
      </c>
      <c r="AS53" s="9">
        <v>0</v>
      </c>
      <c r="AT53" s="10" t="s">
        <v>204</v>
      </c>
      <c r="AU53" s="16">
        <v>0</v>
      </c>
      <c r="AV53" s="9">
        <v>0</v>
      </c>
      <c r="AW53" s="9">
        <v>0</v>
      </c>
      <c r="AX53" s="10" t="s">
        <v>204</v>
      </c>
      <c r="AY53" s="16">
        <v>0</v>
      </c>
      <c r="AZ53" s="9">
        <v>0</v>
      </c>
      <c r="BA53" s="9">
        <v>0</v>
      </c>
      <c r="BB53" s="10" t="s">
        <v>72</v>
      </c>
      <c r="BC53" s="12">
        <v>1000403688</v>
      </c>
      <c r="BD53" s="10" t="s">
        <v>205</v>
      </c>
    </row>
    <row r="54" spans="1:56" s="1" customFormat="1" ht="18" customHeight="1" x14ac:dyDescent="0.2">
      <c r="A54" s="12">
        <v>53</v>
      </c>
      <c r="B54" s="10" t="s">
        <v>64</v>
      </c>
      <c r="C54" s="10" t="s">
        <v>68</v>
      </c>
      <c r="D54" s="10" t="s">
        <v>69</v>
      </c>
      <c r="E54" s="10" t="s">
        <v>289</v>
      </c>
      <c r="F54" s="10"/>
      <c r="G54" s="10" t="s">
        <v>250</v>
      </c>
      <c r="H54" s="10" t="s">
        <v>74</v>
      </c>
      <c r="I54" s="12">
        <v>3</v>
      </c>
      <c r="J54" s="16">
        <v>1789.08</v>
      </c>
      <c r="K54" s="16">
        <v>5367.24</v>
      </c>
      <c r="L54" s="31">
        <v>3.653</v>
      </c>
      <c r="M54" s="16">
        <v>1789.08</v>
      </c>
      <c r="N54" s="10" t="s">
        <v>204</v>
      </c>
      <c r="O54" s="16">
        <v>0</v>
      </c>
      <c r="P54" s="12">
        <v>0</v>
      </c>
      <c r="Q54" s="12">
        <v>0</v>
      </c>
      <c r="R54" s="10" t="s">
        <v>204</v>
      </c>
      <c r="S54" s="16">
        <v>0</v>
      </c>
      <c r="T54" s="9">
        <v>0</v>
      </c>
      <c r="U54" s="9">
        <v>0</v>
      </c>
      <c r="V54" s="10" t="s">
        <v>204</v>
      </c>
      <c r="W54" s="16">
        <v>0</v>
      </c>
      <c r="X54" s="9">
        <v>0</v>
      </c>
      <c r="Y54" s="9">
        <v>0</v>
      </c>
      <c r="Z54" s="10" t="s">
        <v>204</v>
      </c>
      <c r="AA54" s="16">
        <v>0</v>
      </c>
      <c r="AB54" s="9">
        <v>0</v>
      </c>
      <c r="AC54" s="9">
        <v>0</v>
      </c>
      <c r="AD54" s="10" t="s">
        <v>204</v>
      </c>
      <c r="AE54" s="16">
        <v>0</v>
      </c>
      <c r="AF54" s="9">
        <v>0</v>
      </c>
      <c r="AG54" s="9">
        <v>0</v>
      </c>
      <c r="AH54" s="10" t="s">
        <v>204</v>
      </c>
      <c r="AI54" s="16">
        <v>0</v>
      </c>
      <c r="AJ54" s="9">
        <v>0</v>
      </c>
      <c r="AK54" s="9">
        <v>0</v>
      </c>
      <c r="AL54" s="10" t="s">
        <v>204</v>
      </c>
      <c r="AM54" s="16">
        <v>0</v>
      </c>
      <c r="AN54" s="9">
        <v>0</v>
      </c>
      <c r="AO54" s="9">
        <v>0</v>
      </c>
      <c r="AP54" s="10" t="s">
        <v>204</v>
      </c>
      <c r="AQ54" s="16">
        <v>0</v>
      </c>
      <c r="AR54" s="9">
        <v>0</v>
      </c>
      <c r="AS54" s="9">
        <v>0</v>
      </c>
      <c r="AT54" s="10" t="s">
        <v>204</v>
      </c>
      <c r="AU54" s="16">
        <v>0</v>
      </c>
      <c r="AV54" s="9">
        <v>0</v>
      </c>
      <c r="AW54" s="9">
        <v>0</v>
      </c>
      <c r="AX54" s="10" t="s">
        <v>204</v>
      </c>
      <c r="AY54" s="16">
        <v>0</v>
      </c>
      <c r="AZ54" s="9">
        <v>0</v>
      </c>
      <c r="BA54" s="9">
        <v>0</v>
      </c>
      <c r="BB54" s="10" t="s">
        <v>72</v>
      </c>
      <c r="BC54" s="12">
        <v>1000401569</v>
      </c>
      <c r="BD54" s="10" t="s">
        <v>205</v>
      </c>
    </row>
    <row r="55" spans="1:56" s="1" customFormat="1" ht="18" customHeight="1" x14ac:dyDescent="0.2">
      <c r="A55" s="12">
        <v>54</v>
      </c>
      <c r="B55" s="10" t="s">
        <v>64</v>
      </c>
      <c r="C55" s="10" t="s">
        <v>68</v>
      </c>
      <c r="D55" s="10" t="s">
        <v>69</v>
      </c>
      <c r="E55" s="10" t="s">
        <v>289</v>
      </c>
      <c r="F55" s="10" t="s">
        <v>290</v>
      </c>
      <c r="G55" s="10" t="s">
        <v>291</v>
      </c>
      <c r="H55" s="10" t="s">
        <v>74</v>
      </c>
      <c r="I55" s="12">
        <v>2</v>
      </c>
      <c r="J55" s="16">
        <v>1789.08</v>
      </c>
      <c r="K55" s="16">
        <v>3578.16</v>
      </c>
      <c r="L55" s="31">
        <v>3.653</v>
      </c>
      <c r="M55" s="16">
        <v>1789.08</v>
      </c>
      <c r="N55" s="10" t="s">
        <v>204</v>
      </c>
      <c r="O55" s="16">
        <v>0</v>
      </c>
      <c r="P55" s="12">
        <v>0</v>
      </c>
      <c r="Q55" s="12">
        <v>0</v>
      </c>
      <c r="R55" s="10" t="s">
        <v>204</v>
      </c>
      <c r="S55" s="16">
        <v>0</v>
      </c>
      <c r="T55" s="9">
        <v>0</v>
      </c>
      <c r="U55" s="9">
        <v>0</v>
      </c>
      <c r="V55" s="10" t="s">
        <v>204</v>
      </c>
      <c r="W55" s="16">
        <v>0</v>
      </c>
      <c r="X55" s="9">
        <v>0</v>
      </c>
      <c r="Y55" s="9">
        <v>0</v>
      </c>
      <c r="Z55" s="10" t="s">
        <v>204</v>
      </c>
      <c r="AA55" s="16">
        <v>0</v>
      </c>
      <c r="AB55" s="9">
        <v>0</v>
      </c>
      <c r="AC55" s="9">
        <v>0</v>
      </c>
      <c r="AD55" s="10" t="s">
        <v>204</v>
      </c>
      <c r="AE55" s="16">
        <v>0</v>
      </c>
      <c r="AF55" s="9">
        <v>0</v>
      </c>
      <c r="AG55" s="9">
        <v>0</v>
      </c>
      <c r="AH55" s="10" t="s">
        <v>204</v>
      </c>
      <c r="AI55" s="16">
        <v>0</v>
      </c>
      <c r="AJ55" s="9">
        <v>0</v>
      </c>
      <c r="AK55" s="9">
        <v>0</v>
      </c>
      <c r="AL55" s="10" t="s">
        <v>204</v>
      </c>
      <c r="AM55" s="16">
        <v>0</v>
      </c>
      <c r="AN55" s="9">
        <v>0</v>
      </c>
      <c r="AO55" s="9">
        <v>0</v>
      </c>
      <c r="AP55" s="10" t="s">
        <v>204</v>
      </c>
      <c r="AQ55" s="16">
        <v>0</v>
      </c>
      <c r="AR55" s="9">
        <v>0</v>
      </c>
      <c r="AS55" s="9">
        <v>0</v>
      </c>
      <c r="AT55" s="10" t="s">
        <v>204</v>
      </c>
      <c r="AU55" s="16">
        <v>0</v>
      </c>
      <c r="AV55" s="9">
        <v>0</v>
      </c>
      <c r="AW55" s="9">
        <v>0</v>
      </c>
      <c r="AX55" s="10" t="s">
        <v>204</v>
      </c>
      <c r="AY55" s="16">
        <v>0</v>
      </c>
      <c r="AZ55" s="9">
        <v>0</v>
      </c>
      <c r="BA55" s="9">
        <v>0</v>
      </c>
      <c r="BB55" s="10" t="s">
        <v>72</v>
      </c>
      <c r="BC55" s="12">
        <v>1000401492</v>
      </c>
      <c r="BD55" s="10" t="s">
        <v>205</v>
      </c>
    </row>
    <row r="56" spans="1:56" s="1" customFormat="1" ht="18" customHeight="1" x14ac:dyDescent="0.2">
      <c r="A56" s="12">
        <v>55</v>
      </c>
      <c r="B56" s="10" t="s">
        <v>64</v>
      </c>
      <c r="C56" s="10" t="s">
        <v>68</v>
      </c>
      <c r="D56" s="10" t="s">
        <v>69</v>
      </c>
      <c r="E56" s="10" t="s">
        <v>292</v>
      </c>
      <c r="F56" s="10"/>
      <c r="G56" s="10" t="s">
        <v>291</v>
      </c>
      <c r="H56" s="10" t="s">
        <v>74</v>
      </c>
      <c r="I56" s="12">
        <v>1</v>
      </c>
      <c r="J56" s="16">
        <v>1789.08</v>
      </c>
      <c r="K56" s="16">
        <v>1789.08</v>
      </c>
      <c r="L56" s="31">
        <v>3.6150000000000002</v>
      </c>
      <c r="M56" s="16">
        <v>1789.08</v>
      </c>
      <c r="N56" s="10" t="s">
        <v>204</v>
      </c>
      <c r="O56" s="16">
        <v>0</v>
      </c>
      <c r="P56" s="12">
        <v>0</v>
      </c>
      <c r="Q56" s="12">
        <v>0</v>
      </c>
      <c r="R56" s="10" t="s">
        <v>204</v>
      </c>
      <c r="S56" s="16">
        <v>0</v>
      </c>
      <c r="T56" s="9">
        <v>0</v>
      </c>
      <c r="U56" s="9">
        <v>0</v>
      </c>
      <c r="V56" s="10" t="s">
        <v>204</v>
      </c>
      <c r="W56" s="16">
        <v>0</v>
      </c>
      <c r="X56" s="9">
        <v>0</v>
      </c>
      <c r="Y56" s="9">
        <v>0</v>
      </c>
      <c r="Z56" s="10" t="s">
        <v>204</v>
      </c>
      <c r="AA56" s="16">
        <v>0</v>
      </c>
      <c r="AB56" s="9">
        <v>0</v>
      </c>
      <c r="AC56" s="9">
        <v>0</v>
      </c>
      <c r="AD56" s="10" t="s">
        <v>204</v>
      </c>
      <c r="AE56" s="16">
        <v>0</v>
      </c>
      <c r="AF56" s="9">
        <v>0</v>
      </c>
      <c r="AG56" s="9">
        <v>0</v>
      </c>
      <c r="AH56" s="10" t="s">
        <v>204</v>
      </c>
      <c r="AI56" s="16">
        <v>0</v>
      </c>
      <c r="AJ56" s="9">
        <v>0</v>
      </c>
      <c r="AK56" s="9">
        <v>0</v>
      </c>
      <c r="AL56" s="10" t="s">
        <v>204</v>
      </c>
      <c r="AM56" s="16">
        <v>0</v>
      </c>
      <c r="AN56" s="9">
        <v>0</v>
      </c>
      <c r="AO56" s="9">
        <v>0</v>
      </c>
      <c r="AP56" s="10" t="s">
        <v>204</v>
      </c>
      <c r="AQ56" s="16">
        <v>0</v>
      </c>
      <c r="AR56" s="9">
        <v>0</v>
      </c>
      <c r="AS56" s="9">
        <v>0</v>
      </c>
      <c r="AT56" s="10" t="s">
        <v>204</v>
      </c>
      <c r="AU56" s="16">
        <v>0</v>
      </c>
      <c r="AV56" s="9">
        <v>0</v>
      </c>
      <c r="AW56" s="9">
        <v>0</v>
      </c>
      <c r="AX56" s="10" t="s">
        <v>204</v>
      </c>
      <c r="AY56" s="16">
        <v>0</v>
      </c>
      <c r="AZ56" s="9">
        <v>0</v>
      </c>
      <c r="BA56" s="9">
        <v>0</v>
      </c>
      <c r="BB56" s="10" t="s">
        <v>72</v>
      </c>
      <c r="BC56" s="12">
        <v>1000401490</v>
      </c>
      <c r="BD56" s="10" t="s">
        <v>205</v>
      </c>
    </row>
    <row r="57" spans="1:56" s="1" customFormat="1" ht="18" customHeight="1" x14ac:dyDescent="0.2">
      <c r="A57" s="12">
        <v>56</v>
      </c>
      <c r="B57" s="10" t="s">
        <v>91</v>
      </c>
      <c r="C57" s="10" t="s">
        <v>68</v>
      </c>
      <c r="D57" s="10" t="s">
        <v>94</v>
      </c>
      <c r="E57" s="10" t="s">
        <v>293</v>
      </c>
      <c r="F57" s="10"/>
      <c r="G57" s="10" t="s">
        <v>294</v>
      </c>
      <c r="H57" s="10" t="s">
        <v>74</v>
      </c>
      <c r="I57" s="12">
        <v>80</v>
      </c>
      <c r="J57" s="16">
        <v>2279.75</v>
      </c>
      <c r="K57" s="16">
        <v>182380</v>
      </c>
      <c r="L57" s="31">
        <v>3.9780000000000002</v>
      </c>
      <c r="M57" s="16">
        <v>2279.75</v>
      </c>
      <c r="N57" s="10" t="s">
        <v>483</v>
      </c>
      <c r="O57" s="16">
        <v>2279.75</v>
      </c>
      <c r="P57" s="12">
        <v>5</v>
      </c>
      <c r="Q57" s="12">
        <v>36</v>
      </c>
      <c r="R57" s="10" t="s">
        <v>204</v>
      </c>
      <c r="S57" s="16">
        <v>0</v>
      </c>
      <c r="T57" s="9">
        <v>0</v>
      </c>
      <c r="U57" s="9">
        <v>0</v>
      </c>
      <c r="V57" s="10" t="s">
        <v>204</v>
      </c>
      <c r="W57" s="16">
        <v>0</v>
      </c>
      <c r="X57" s="9">
        <v>0</v>
      </c>
      <c r="Y57" s="9">
        <v>0</v>
      </c>
      <c r="Z57" s="10" t="s">
        <v>204</v>
      </c>
      <c r="AA57" s="16">
        <v>0</v>
      </c>
      <c r="AB57" s="9">
        <v>0</v>
      </c>
      <c r="AC57" s="9">
        <v>0</v>
      </c>
      <c r="AD57" s="10" t="s">
        <v>204</v>
      </c>
      <c r="AE57" s="16">
        <v>0</v>
      </c>
      <c r="AF57" s="9">
        <v>0</v>
      </c>
      <c r="AG57" s="9">
        <v>0</v>
      </c>
      <c r="AH57" s="10" t="s">
        <v>204</v>
      </c>
      <c r="AI57" s="16">
        <v>0</v>
      </c>
      <c r="AJ57" s="9">
        <v>0</v>
      </c>
      <c r="AK57" s="9">
        <v>0</v>
      </c>
      <c r="AL57" s="10" t="s">
        <v>204</v>
      </c>
      <c r="AM57" s="16">
        <v>0</v>
      </c>
      <c r="AN57" s="9">
        <v>0</v>
      </c>
      <c r="AO57" s="9">
        <v>0</v>
      </c>
      <c r="AP57" s="10" t="s">
        <v>204</v>
      </c>
      <c r="AQ57" s="16">
        <v>0</v>
      </c>
      <c r="AR57" s="9">
        <v>0</v>
      </c>
      <c r="AS57" s="9">
        <v>0</v>
      </c>
      <c r="AT57" s="10" t="s">
        <v>204</v>
      </c>
      <c r="AU57" s="16">
        <v>0</v>
      </c>
      <c r="AV57" s="9">
        <v>0</v>
      </c>
      <c r="AW57" s="9">
        <v>0</v>
      </c>
      <c r="AX57" s="10" t="s">
        <v>204</v>
      </c>
      <c r="AY57" s="16">
        <v>0</v>
      </c>
      <c r="AZ57" s="9">
        <v>0</v>
      </c>
      <c r="BA57" s="9">
        <v>0</v>
      </c>
      <c r="BB57" s="10" t="s">
        <v>72</v>
      </c>
      <c r="BC57" s="12">
        <v>1000420826</v>
      </c>
      <c r="BD57" s="10" t="s">
        <v>205</v>
      </c>
    </row>
    <row r="58" spans="1:56" s="1" customFormat="1" ht="18" customHeight="1" x14ac:dyDescent="0.2">
      <c r="A58" s="12">
        <v>57</v>
      </c>
      <c r="B58" s="10" t="s">
        <v>91</v>
      </c>
      <c r="C58" s="10" t="s">
        <v>68</v>
      </c>
      <c r="D58" s="10" t="s">
        <v>94</v>
      </c>
      <c r="E58" s="10" t="s">
        <v>295</v>
      </c>
      <c r="F58" s="10" t="s">
        <v>296</v>
      </c>
      <c r="G58" s="10" t="s">
        <v>297</v>
      </c>
      <c r="H58" s="10" t="s">
        <v>74</v>
      </c>
      <c r="I58" s="12">
        <v>12</v>
      </c>
      <c r="J58" s="16">
        <v>1600.93</v>
      </c>
      <c r="K58" s="16">
        <v>19211.16</v>
      </c>
      <c r="L58" s="31">
        <v>3.7879999999999998</v>
      </c>
      <c r="M58" s="16">
        <v>1600.93</v>
      </c>
      <c r="N58" s="10" t="s">
        <v>204</v>
      </c>
      <c r="O58" s="16">
        <v>0</v>
      </c>
      <c r="P58" s="12">
        <v>0</v>
      </c>
      <c r="Q58" s="12">
        <v>0</v>
      </c>
      <c r="R58" s="10" t="s">
        <v>204</v>
      </c>
      <c r="S58" s="16">
        <v>0</v>
      </c>
      <c r="T58" s="9">
        <v>0</v>
      </c>
      <c r="U58" s="9">
        <v>0</v>
      </c>
      <c r="V58" s="10" t="s">
        <v>204</v>
      </c>
      <c r="W58" s="16">
        <v>0</v>
      </c>
      <c r="X58" s="9">
        <v>0</v>
      </c>
      <c r="Y58" s="9">
        <v>0</v>
      </c>
      <c r="Z58" s="10" t="s">
        <v>204</v>
      </c>
      <c r="AA58" s="16">
        <v>0</v>
      </c>
      <c r="AB58" s="9">
        <v>0</v>
      </c>
      <c r="AC58" s="9">
        <v>0</v>
      </c>
      <c r="AD58" s="10" t="s">
        <v>204</v>
      </c>
      <c r="AE58" s="16">
        <v>0</v>
      </c>
      <c r="AF58" s="9">
        <v>0</v>
      </c>
      <c r="AG58" s="9">
        <v>0</v>
      </c>
      <c r="AH58" s="10" t="s">
        <v>204</v>
      </c>
      <c r="AI58" s="16">
        <v>0</v>
      </c>
      <c r="AJ58" s="9">
        <v>0</v>
      </c>
      <c r="AK58" s="9">
        <v>0</v>
      </c>
      <c r="AL58" s="10" t="s">
        <v>204</v>
      </c>
      <c r="AM58" s="16">
        <v>0</v>
      </c>
      <c r="AN58" s="9">
        <v>0</v>
      </c>
      <c r="AO58" s="9">
        <v>0</v>
      </c>
      <c r="AP58" s="10" t="s">
        <v>204</v>
      </c>
      <c r="AQ58" s="16">
        <v>0</v>
      </c>
      <c r="AR58" s="9">
        <v>0</v>
      </c>
      <c r="AS58" s="9">
        <v>0</v>
      </c>
      <c r="AT58" s="10" t="s">
        <v>204</v>
      </c>
      <c r="AU58" s="16">
        <v>0</v>
      </c>
      <c r="AV58" s="9">
        <v>0</v>
      </c>
      <c r="AW58" s="9">
        <v>0</v>
      </c>
      <c r="AX58" s="10" t="s">
        <v>204</v>
      </c>
      <c r="AY58" s="16">
        <v>0</v>
      </c>
      <c r="AZ58" s="9">
        <v>0</v>
      </c>
      <c r="BA58" s="9">
        <v>0</v>
      </c>
      <c r="BB58" s="10" t="s">
        <v>72</v>
      </c>
      <c r="BC58" s="12">
        <v>1000417193</v>
      </c>
      <c r="BD58" s="10" t="s">
        <v>205</v>
      </c>
    </row>
    <row r="59" spans="1:56" s="1" customFormat="1" ht="18" customHeight="1" x14ac:dyDescent="0.2">
      <c r="A59" s="12">
        <v>58</v>
      </c>
      <c r="B59" s="10" t="s">
        <v>91</v>
      </c>
      <c r="C59" s="10" t="s">
        <v>68</v>
      </c>
      <c r="D59" s="10" t="s">
        <v>94</v>
      </c>
      <c r="E59" s="10" t="s">
        <v>295</v>
      </c>
      <c r="F59" s="10" t="s">
        <v>298</v>
      </c>
      <c r="G59" s="10" t="s">
        <v>297</v>
      </c>
      <c r="H59" s="10" t="s">
        <v>74</v>
      </c>
      <c r="I59" s="12">
        <v>15</v>
      </c>
      <c r="J59" s="16">
        <v>1600.93</v>
      </c>
      <c r="K59" s="16">
        <v>24013.95</v>
      </c>
      <c r="L59" s="31">
        <v>3.7879999999999998</v>
      </c>
      <c r="M59" s="16">
        <v>1600.93</v>
      </c>
      <c r="N59" s="10" t="s">
        <v>204</v>
      </c>
      <c r="O59" s="16">
        <v>0</v>
      </c>
      <c r="P59" s="12">
        <v>0</v>
      </c>
      <c r="Q59" s="12">
        <v>0</v>
      </c>
      <c r="R59" s="10" t="s">
        <v>204</v>
      </c>
      <c r="S59" s="16">
        <v>0</v>
      </c>
      <c r="T59" s="9">
        <v>0</v>
      </c>
      <c r="U59" s="9">
        <v>0</v>
      </c>
      <c r="V59" s="10" t="s">
        <v>204</v>
      </c>
      <c r="W59" s="16">
        <v>0</v>
      </c>
      <c r="X59" s="9">
        <v>0</v>
      </c>
      <c r="Y59" s="9">
        <v>0</v>
      </c>
      <c r="Z59" s="10" t="s">
        <v>204</v>
      </c>
      <c r="AA59" s="16">
        <v>0</v>
      </c>
      <c r="AB59" s="9">
        <v>0</v>
      </c>
      <c r="AC59" s="9">
        <v>0</v>
      </c>
      <c r="AD59" s="10" t="s">
        <v>204</v>
      </c>
      <c r="AE59" s="16">
        <v>0</v>
      </c>
      <c r="AF59" s="9">
        <v>0</v>
      </c>
      <c r="AG59" s="9">
        <v>0</v>
      </c>
      <c r="AH59" s="10" t="s">
        <v>204</v>
      </c>
      <c r="AI59" s="16">
        <v>0</v>
      </c>
      <c r="AJ59" s="9">
        <v>0</v>
      </c>
      <c r="AK59" s="9">
        <v>0</v>
      </c>
      <c r="AL59" s="10" t="s">
        <v>204</v>
      </c>
      <c r="AM59" s="16">
        <v>0</v>
      </c>
      <c r="AN59" s="9">
        <v>0</v>
      </c>
      <c r="AO59" s="9">
        <v>0</v>
      </c>
      <c r="AP59" s="10" t="s">
        <v>204</v>
      </c>
      <c r="AQ59" s="16">
        <v>0</v>
      </c>
      <c r="AR59" s="9">
        <v>0</v>
      </c>
      <c r="AS59" s="9">
        <v>0</v>
      </c>
      <c r="AT59" s="10" t="s">
        <v>204</v>
      </c>
      <c r="AU59" s="16">
        <v>0</v>
      </c>
      <c r="AV59" s="9">
        <v>0</v>
      </c>
      <c r="AW59" s="9">
        <v>0</v>
      </c>
      <c r="AX59" s="10" t="s">
        <v>204</v>
      </c>
      <c r="AY59" s="16">
        <v>0</v>
      </c>
      <c r="AZ59" s="9">
        <v>0</v>
      </c>
      <c r="BA59" s="9">
        <v>0</v>
      </c>
      <c r="BB59" s="10" t="s">
        <v>72</v>
      </c>
      <c r="BC59" s="12">
        <v>1000417193</v>
      </c>
      <c r="BD59" s="10" t="s">
        <v>205</v>
      </c>
    </row>
    <row r="60" spans="1:56" s="1" customFormat="1" ht="18" customHeight="1" x14ac:dyDescent="0.2">
      <c r="A60" s="12">
        <v>59</v>
      </c>
      <c r="B60" s="10" t="s">
        <v>91</v>
      </c>
      <c r="C60" s="10" t="s">
        <v>68</v>
      </c>
      <c r="D60" s="10" t="s">
        <v>94</v>
      </c>
      <c r="E60" s="10" t="s">
        <v>299</v>
      </c>
      <c r="F60" s="10" t="s">
        <v>300</v>
      </c>
      <c r="G60" s="10" t="s">
        <v>301</v>
      </c>
      <c r="H60" s="10" t="s">
        <v>74</v>
      </c>
      <c r="I60" s="12">
        <v>10</v>
      </c>
      <c r="J60" s="16">
        <v>1600.93</v>
      </c>
      <c r="K60" s="16">
        <v>16009.3</v>
      </c>
      <c r="L60" s="31">
        <v>3.7589999999999999</v>
      </c>
      <c r="M60" s="16">
        <v>1600.93</v>
      </c>
      <c r="N60" s="10" t="s">
        <v>204</v>
      </c>
      <c r="O60" s="16">
        <v>0</v>
      </c>
      <c r="P60" s="12">
        <v>0</v>
      </c>
      <c r="Q60" s="12">
        <v>0</v>
      </c>
      <c r="R60" s="10" t="s">
        <v>204</v>
      </c>
      <c r="S60" s="16">
        <v>0</v>
      </c>
      <c r="T60" s="9">
        <v>0</v>
      </c>
      <c r="U60" s="9">
        <v>0</v>
      </c>
      <c r="V60" s="10" t="s">
        <v>204</v>
      </c>
      <c r="W60" s="16">
        <v>0</v>
      </c>
      <c r="X60" s="9">
        <v>0</v>
      </c>
      <c r="Y60" s="9">
        <v>0</v>
      </c>
      <c r="Z60" s="10" t="s">
        <v>204</v>
      </c>
      <c r="AA60" s="16">
        <v>0</v>
      </c>
      <c r="AB60" s="9">
        <v>0</v>
      </c>
      <c r="AC60" s="9">
        <v>0</v>
      </c>
      <c r="AD60" s="10" t="s">
        <v>204</v>
      </c>
      <c r="AE60" s="16">
        <v>0</v>
      </c>
      <c r="AF60" s="9">
        <v>0</v>
      </c>
      <c r="AG60" s="9">
        <v>0</v>
      </c>
      <c r="AH60" s="10" t="s">
        <v>204</v>
      </c>
      <c r="AI60" s="16">
        <v>0</v>
      </c>
      <c r="AJ60" s="9">
        <v>0</v>
      </c>
      <c r="AK60" s="9">
        <v>0</v>
      </c>
      <c r="AL60" s="10" t="s">
        <v>204</v>
      </c>
      <c r="AM60" s="16">
        <v>0</v>
      </c>
      <c r="AN60" s="9">
        <v>0</v>
      </c>
      <c r="AO60" s="9">
        <v>0</v>
      </c>
      <c r="AP60" s="10" t="s">
        <v>204</v>
      </c>
      <c r="AQ60" s="16">
        <v>0</v>
      </c>
      <c r="AR60" s="9">
        <v>0</v>
      </c>
      <c r="AS60" s="9">
        <v>0</v>
      </c>
      <c r="AT60" s="10" t="s">
        <v>204</v>
      </c>
      <c r="AU60" s="16">
        <v>0</v>
      </c>
      <c r="AV60" s="9">
        <v>0</v>
      </c>
      <c r="AW60" s="9">
        <v>0</v>
      </c>
      <c r="AX60" s="10" t="s">
        <v>204</v>
      </c>
      <c r="AY60" s="16">
        <v>0</v>
      </c>
      <c r="AZ60" s="9">
        <v>0</v>
      </c>
      <c r="BA60" s="9">
        <v>0</v>
      </c>
      <c r="BB60" s="10" t="s">
        <v>72</v>
      </c>
      <c r="BC60" s="12">
        <v>1000416423</v>
      </c>
      <c r="BD60" s="10" t="s">
        <v>205</v>
      </c>
    </row>
    <row r="61" spans="1:56" s="1" customFormat="1" ht="18" customHeight="1" x14ac:dyDescent="0.2">
      <c r="A61" s="12">
        <v>60</v>
      </c>
      <c r="B61" s="10" t="s">
        <v>91</v>
      </c>
      <c r="C61" s="10" t="s">
        <v>68</v>
      </c>
      <c r="D61" s="10" t="s">
        <v>94</v>
      </c>
      <c r="E61" s="10" t="s">
        <v>302</v>
      </c>
      <c r="F61" s="10"/>
      <c r="G61" s="10" t="s">
        <v>266</v>
      </c>
      <c r="H61" s="10" t="s">
        <v>74</v>
      </c>
      <c r="I61" s="12">
        <v>2</v>
      </c>
      <c r="J61" s="16">
        <v>2058.56</v>
      </c>
      <c r="K61" s="16">
        <v>4117.12</v>
      </c>
      <c r="L61" s="31">
        <v>4.0549999999999997</v>
      </c>
      <c r="M61" s="16">
        <v>2058.56</v>
      </c>
      <c r="N61" s="10" t="s">
        <v>204</v>
      </c>
      <c r="O61" s="16">
        <v>0</v>
      </c>
      <c r="P61" s="12">
        <v>0</v>
      </c>
      <c r="Q61" s="12">
        <v>0</v>
      </c>
      <c r="R61" s="10" t="s">
        <v>204</v>
      </c>
      <c r="S61" s="16">
        <v>0</v>
      </c>
      <c r="T61" s="9">
        <v>0</v>
      </c>
      <c r="U61" s="9">
        <v>0</v>
      </c>
      <c r="V61" s="10" t="s">
        <v>204</v>
      </c>
      <c r="W61" s="16">
        <v>0</v>
      </c>
      <c r="X61" s="9">
        <v>0</v>
      </c>
      <c r="Y61" s="9">
        <v>0</v>
      </c>
      <c r="Z61" s="10" t="s">
        <v>204</v>
      </c>
      <c r="AA61" s="16">
        <v>0</v>
      </c>
      <c r="AB61" s="9">
        <v>0</v>
      </c>
      <c r="AC61" s="9">
        <v>0</v>
      </c>
      <c r="AD61" s="10" t="s">
        <v>204</v>
      </c>
      <c r="AE61" s="16">
        <v>0</v>
      </c>
      <c r="AF61" s="9">
        <v>0</v>
      </c>
      <c r="AG61" s="9">
        <v>0</v>
      </c>
      <c r="AH61" s="10" t="s">
        <v>204</v>
      </c>
      <c r="AI61" s="16">
        <v>0</v>
      </c>
      <c r="AJ61" s="9">
        <v>0</v>
      </c>
      <c r="AK61" s="9">
        <v>0</v>
      </c>
      <c r="AL61" s="10" t="s">
        <v>204</v>
      </c>
      <c r="AM61" s="16">
        <v>0</v>
      </c>
      <c r="AN61" s="9">
        <v>0</v>
      </c>
      <c r="AO61" s="9">
        <v>0</v>
      </c>
      <c r="AP61" s="10" t="s">
        <v>204</v>
      </c>
      <c r="AQ61" s="16">
        <v>0</v>
      </c>
      <c r="AR61" s="9">
        <v>0</v>
      </c>
      <c r="AS61" s="9">
        <v>0</v>
      </c>
      <c r="AT61" s="10" t="s">
        <v>204</v>
      </c>
      <c r="AU61" s="16">
        <v>0</v>
      </c>
      <c r="AV61" s="9">
        <v>0</v>
      </c>
      <c r="AW61" s="9">
        <v>0</v>
      </c>
      <c r="AX61" s="10" t="s">
        <v>204</v>
      </c>
      <c r="AY61" s="16">
        <v>0</v>
      </c>
      <c r="AZ61" s="9">
        <v>0</v>
      </c>
      <c r="BA61" s="9">
        <v>0</v>
      </c>
      <c r="BB61" s="10" t="s">
        <v>72</v>
      </c>
      <c r="BC61" s="12">
        <v>1000411402</v>
      </c>
      <c r="BD61" s="10" t="s">
        <v>205</v>
      </c>
    </row>
    <row r="62" spans="1:56" s="1" customFormat="1" ht="18" customHeight="1" x14ac:dyDescent="0.2">
      <c r="A62" s="12">
        <v>61</v>
      </c>
      <c r="B62" s="10" t="s">
        <v>91</v>
      </c>
      <c r="C62" s="10" t="s">
        <v>68</v>
      </c>
      <c r="D62" s="10" t="s">
        <v>94</v>
      </c>
      <c r="E62" s="10" t="s">
        <v>303</v>
      </c>
      <c r="F62" s="10" t="s">
        <v>304</v>
      </c>
      <c r="G62" s="10" t="s">
        <v>237</v>
      </c>
      <c r="H62" s="10" t="s">
        <v>74</v>
      </c>
      <c r="I62" s="12">
        <v>5</v>
      </c>
      <c r="J62" s="16">
        <v>2134.83</v>
      </c>
      <c r="K62" s="16">
        <v>10674.15</v>
      </c>
      <c r="L62" s="31">
        <v>4.0199999999999996</v>
      </c>
      <c r="M62" s="16">
        <v>2134.83</v>
      </c>
      <c r="N62" s="10" t="s">
        <v>204</v>
      </c>
      <c r="O62" s="16">
        <v>0</v>
      </c>
      <c r="P62" s="12">
        <v>0</v>
      </c>
      <c r="Q62" s="12">
        <v>0</v>
      </c>
      <c r="R62" s="10" t="s">
        <v>204</v>
      </c>
      <c r="S62" s="16">
        <v>0</v>
      </c>
      <c r="T62" s="9">
        <v>0</v>
      </c>
      <c r="U62" s="9">
        <v>0</v>
      </c>
      <c r="V62" s="10" t="s">
        <v>204</v>
      </c>
      <c r="W62" s="16">
        <v>0</v>
      </c>
      <c r="X62" s="9">
        <v>0</v>
      </c>
      <c r="Y62" s="9">
        <v>0</v>
      </c>
      <c r="Z62" s="10" t="s">
        <v>204</v>
      </c>
      <c r="AA62" s="16">
        <v>0</v>
      </c>
      <c r="AB62" s="9">
        <v>0</v>
      </c>
      <c r="AC62" s="9">
        <v>0</v>
      </c>
      <c r="AD62" s="10" t="s">
        <v>204</v>
      </c>
      <c r="AE62" s="16">
        <v>0</v>
      </c>
      <c r="AF62" s="9">
        <v>0</v>
      </c>
      <c r="AG62" s="9">
        <v>0</v>
      </c>
      <c r="AH62" s="10" t="s">
        <v>204</v>
      </c>
      <c r="AI62" s="16">
        <v>0</v>
      </c>
      <c r="AJ62" s="9">
        <v>0</v>
      </c>
      <c r="AK62" s="9">
        <v>0</v>
      </c>
      <c r="AL62" s="10" t="s">
        <v>204</v>
      </c>
      <c r="AM62" s="16">
        <v>0</v>
      </c>
      <c r="AN62" s="9">
        <v>0</v>
      </c>
      <c r="AO62" s="9">
        <v>0</v>
      </c>
      <c r="AP62" s="10" t="s">
        <v>204</v>
      </c>
      <c r="AQ62" s="16">
        <v>0</v>
      </c>
      <c r="AR62" s="9">
        <v>0</v>
      </c>
      <c r="AS62" s="9">
        <v>0</v>
      </c>
      <c r="AT62" s="10" t="s">
        <v>204</v>
      </c>
      <c r="AU62" s="16">
        <v>0</v>
      </c>
      <c r="AV62" s="9">
        <v>0</v>
      </c>
      <c r="AW62" s="9">
        <v>0</v>
      </c>
      <c r="AX62" s="10" t="s">
        <v>204</v>
      </c>
      <c r="AY62" s="16">
        <v>0</v>
      </c>
      <c r="AZ62" s="9">
        <v>0</v>
      </c>
      <c r="BA62" s="9">
        <v>0</v>
      </c>
      <c r="BB62" s="10" t="s">
        <v>72</v>
      </c>
      <c r="BC62" s="12">
        <v>1000410565</v>
      </c>
      <c r="BD62" s="10" t="s">
        <v>205</v>
      </c>
    </row>
    <row r="63" spans="1:56" s="1" customFormat="1" ht="18" customHeight="1" x14ac:dyDescent="0.2">
      <c r="A63" s="12">
        <v>62</v>
      </c>
      <c r="B63" s="10" t="s">
        <v>91</v>
      </c>
      <c r="C63" s="10" t="s">
        <v>68</v>
      </c>
      <c r="D63" s="10" t="s">
        <v>98</v>
      </c>
      <c r="E63" s="10" t="s">
        <v>305</v>
      </c>
      <c r="F63" s="10" t="s">
        <v>306</v>
      </c>
      <c r="G63" s="10" t="s">
        <v>216</v>
      </c>
      <c r="H63" s="10" t="s">
        <v>74</v>
      </c>
      <c r="I63" s="12">
        <v>40</v>
      </c>
      <c r="J63" s="16">
        <v>2287.37</v>
      </c>
      <c r="K63" s="16">
        <v>91494.8</v>
      </c>
      <c r="L63" s="31">
        <v>3.7869999999999999</v>
      </c>
      <c r="M63" s="16">
        <v>2287.37</v>
      </c>
      <c r="N63" s="10" t="s">
        <v>484</v>
      </c>
      <c r="O63" s="16">
        <v>2287.37</v>
      </c>
      <c r="P63" s="12">
        <v>4</v>
      </c>
      <c r="Q63" s="12">
        <v>39</v>
      </c>
      <c r="R63" s="10" t="s">
        <v>204</v>
      </c>
      <c r="S63" s="16">
        <v>0</v>
      </c>
      <c r="T63" s="9">
        <v>0</v>
      </c>
      <c r="U63" s="9">
        <v>0</v>
      </c>
      <c r="V63" s="10" t="s">
        <v>204</v>
      </c>
      <c r="W63" s="16">
        <v>0</v>
      </c>
      <c r="X63" s="9">
        <v>0</v>
      </c>
      <c r="Y63" s="9">
        <v>0</v>
      </c>
      <c r="Z63" s="10" t="s">
        <v>204</v>
      </c>
      <c r="AA63" s="16">
        <v>0</v>
      </c>
      <c r="AB63" s="9">
        <v>0</v>
      </c>
      <c r="AC63" s="9">
        <v>0</v>
      </c>
      <c r="AD63" s="10" t="s">
        <v>204</v>
      </c>
      <c r="AE63" s="16">
        <v>0</v>
      </c>
      <c r="AF63" s="9">
        <v>0</v>
      </c>
      <c r="AG63" s="9">
        <v>0</v>
      </c>
      <c r="AH63" s="10" t="s">
        <v>204</v>
      </c>
      <c r="AI63" s="16">
        <v>0</v>
      </c>
      <c r="AJ63" s="9">
        <v>0</v>
      </c>
      <c r="AK63" s="9">
        <v>0</v>
      </c>
      <c r="AL63" s="10" t="s">
        <v>204</v>
      </c>
      <c r="AM63" s="16">
        <v>0</v>
      </c>
      <c r="AN63" s="9">
        <v>0</v>
      </c>
      <c r="AO63" s="9">
        <v>0</v>
      </c>
      <c r="AP63" s="10" t="s">
        <v>204</v>
      </c>
      <c r="AQ63" s="16">
        <v>0</v>
      </c>
      <c r="AR63" s="9">
        <v>0</v>
      </c>
      <c r="AS63" s="9">
        <v>0</v>
      </c>
      <c r="AT63" s="10" t="s">
        <v>204</v>
      </c>
      <c r="AU63" s="16">
        <v>0</v>
      </c>
      <c r="AV63" s="9">
        <v>0</v>
      </c>
      <c r="AW63" s="9">
        <v>0</v>
      </c>
      <c r="AX63" s="10" t="s">
        <v>204</v>
      </c>
      <c r="AY63" s="16">
        <v>0</v>
      </c>
      <c r="AZ63" s="9">
        <v>0</v>
      </c>
      <c r="BA63" s="9">
        <v>0</v>
      </c>
      <c r="BB63" s="10" t="s">
        <v>72</v>
      </c>
      <c r="BC63" s="12">
        <v>1000432743</v>
      </c>
      <c r="BD63" s="10" t="s">
        <v>205</v>
      </c>
    </row>
    <row r="64" spans="1:56" s="1" customFormat="1" ht="18" customHeight="1" x14ac:dyDescent="0.2">
      <c r="A64" s="12">
        <v>63</v>
      </c>
      <c r="B64" s="10" t="s">
        <v>91</v>
      </c>
      <c r="C64" s="10" t="s">
        <v>68</v>
      </c>
      <c r="D64" s="10" t="s">
        <v>98</v>
      </c>
      <c r="E64" s="10" t="s">
        <v>307</v>
      </c>
      <c r="F64" s="10"/>
      <c r="G64" s="10" t="s">
        <v>308</v>
      </c>
      <c r="H64" s="10" t="s">
        <v>74</v>
      </c>
      <c r="I64" s="12">
        <v>3</v>
      </c>
      <c r="J64" s="16">
        <v>2287.37</v>
      </c>
      <c r="K64" s="16">
        <v>6862.11</v>
      </c>
      <c r="L64" s="31">
        <v>3.738</v>
      </c>
      <c r="M64" s="16">
        <v>2287.37</v>
      </c>
      <c r="N64" s="10" t="s">
        <v>204</v>
      </c>
      <c r="O64" s="16">
        <v>0</v>
      </c>
      <c r="P64" s="12">
        <v>0</v>
      </c>
      <c r="Q64" s="12">
        <v>0</v>
      </c>
      <c r="R64" s="10" t="s">
        <v>204</v>
      </c>
      <c r="S64" s="16">
        <v>0</v>
      </c>
      <c r="T64" s="9">
        <v>0</v>
      </c>
      <c r="U64" s="9">
        <v>0</v>
      </c>
      <c r="V64" s="10" t="s">
        <v>204</v>
      </c>
      <c r="W64" s="16">
        <v>0</v>
      </c>
      <c r="X64" s="9">
        <v>0</v>
      </c>
      <c r="Y64" s="9">
        <v>0</v>
      </c>
      <c r="Z64" s="10" t="s">
        <v>204</v>
      </c>
      <c r="AA64" s="16">
        <v>0</v>
      </c>
      <c r="AB64" s="9">
        <v>0</v>
      </c>
      <c r="AC64" s="9">
        <v>0</v>
      </c>
      <c r="AD64" s="10" t="s">
        <v>204</v>
      </c>
      <c r="AE64" s="16">
        <v>0</v>
      </c>
      <c r="AF64" s="9">
        <v>0</v>
      </c>
      <c r="AG64" s="9">
        <v>0</v>
      </c>
      <c r="AH64" s="10" t="s">
        <v>204</v>
      </c>
      <c r="AI64" s="16">
        <v>0</v>
      </c>
      <c r="AJ64" s="9">
        <v>0</v>
      </c>
      <c r="AK64" s="9">
        <v>0</v>
      </c>
      <c r="AL64" s="10" t="s">
        <v>204</v>
      </c>
      <c r="AM64" s="16">
        <v>0</v>
      </c>
      <c r="AN64" s="9">
        <v>0</v>
      </c>
      <c r="AO64" s="9">
        <v>0</v>
      </c>
      <c r="AP64" s="10" t="s">
        <v>204</v>
      </c>
      <c r="AQ64" s="16">
        <v>0</v>
      </c>
      <c r="AR64" s="9">
        <v>0</v>
      </c>
      <c r="AS64" s="9">
        <v>0</v>
      </c>
      <c r="AT64" s="10" t="s">
        <v>204</v>
      </c>
      <c r="AU64" s="16">
        <v>0</v>
      </c>
      <c r="AV64" s="9">
        <v>0</v>
      </c>
      <c r="AW64" s="9">
        <v>0</v>
      </c>
      <c r="AX64" s="10" t="s">
        <v>204</v>
      </c>
      <c r="AY64" s="16">
        <v>0</v>
      </c>
      <c r="AZ64" s="9">
        <v>0</v>
      </c>
      <c r="BA64" s="9">
        <v>0</v>
      </c>
      <c r="BB64" s="10" t="s">
        <v>72</v>
      </c>
      <c r="BC64" s="12">
        <v>1000415663</v>
      </c>
      <c r="BD64" s="10" t="s">
        <v>205</v>
      </c>
    </row>
    <row r="65" spans="1:56" s="1" customFormat="1" ht="18" customHeight="1" x14ac:dyDescent="0.2">
      <c r="A65" s="12">
        <v>64</v>
      </c>
      <c r="B65" s="10" t="s">
        <v>91</v>
      </c>
      <c r="C65" s="10" t="s">
        <v>68</v>
      </c>
      <c r="D65" s="10" t="s">
        <v>98</v>
      </c>
      <c r="E65" s="10" t="s">
        <v>309</v>
      </c>
      <c r="F65" s="10"/>
      <c r="G65" s="10" t="s">
        <v>308</v>
      </c>
      <c r="H65" s="10" t="s">
        <v>74</v>
      </c>
      <c r="I65" s="12">
        <v>2</v>
      </c>
      <c r="J65" s="16">
        <v>2287.37</v>
      </c>
      <c r="K65" s="16">
        <v>4574.74</v>
      </c>
      <c r="L65" s="31">
        <v>3.8050000000000002</v>
      </c>
      <c r="M65" s="16">
        <v>2287.37</v>
      </c>
      <c r="N65" s="10" t="s">
        <v>204</v>
      </c>
      <c r="O65" s="16">
        <v>0</v>
      </c>
      <c r="P65" s="12">
        <v>0</v>
      </c>
      <c r="Q65" s="12">
        <v>0</v>
      </c>
      <c r="R65" s="10" t="s">
        <v>204</v>
      </c>
      <c r="S65" s="16">
        <v>0</v>
      </c>
      <c r="T65" s="9">
        <v>0</v>
      </c>
      <c r="U65" s="9">
        <v>0</v>
      </c>
      <c r="V65" s="10" t="s">
        <v>204</v>
      </c>
      <c r="W65" s="16">
        <v>0</v>
      </c>
      <c r="X65" s="9">
        <v>0</v>
      </c>
      <c r="Y65" s="9">
        <v>0</v>
      </c>
      <c r="Z65" s="10" t="s">
        <v>204</v>
      </c>
      <c r="AA65" s="16">
        <v>0</v>
      </c>
      <c r="AB65" s="9">
        <v>0</v>
      </c>
      <c r="AC65" s="9">
        <v>0</v>
      </c>
      <c r="AD65" s="10" t="s">
        <v>204</v>
      </c>
      <c r="AE65" s="16">
        <v>0</v>
      </c>
      <c r="AF65" s="9">
        <v>0</v>
      </c>
      <c r="AG65" s="9">
        <v>0</v>
      </c>
      <c r="AH65" s="10" t="s">
        <v>204</v>
      </c>
      <c r="AI65" s="16">
        <v>0</v>
      </c>
      <c r="AJ65" s="9">
        <v>0</v>
      </c>
      <c r="AK65" s="9">
        <v>0</v>
      </c>
      <c r="AL65" s="10" t="s">
        <v>204</v>
      </c>
      <c r="AM65" s="16">
        <v>0</v>
      </c>
      <c r="AN65" s="9">
        <v>0</v>
      </c>
      <c r="AO65" s="9">
        <v>0</v>
      </c>
      <c r="AP65" s="10" t="s">
        <v>204</v>
      </c>
      <c r="AQ65" s="16">
        <v>0</v>
      </c>
      <c r="AR65" s="9">
        <v>0</v>
      </c>
      <c r="AS65" s="9">
        <v>0</v>
      </c>
      <c r="AT65" s="10" t="s">
        <v>204</v>
      </c>
      <c r="AU65" s="16">
        <v>0</v>
      </c>
      <c r="AV65" s="9">
        <v>0</v>
      </c>
      <c r="AW65" s="9">
        <v>0</v>
      </c>
      <c r="AX65" s="10" t="s">
        <v>204</v>
      </c>
      <c r="AY65" s="16">
        <v>0</v>
      </c>
      <c r="AZ65" s="9">
        <v>0</v>
      </c>
      <c r="BA65" s="9">
        <v>0</v>
      </c>
      <c r="BB65" s="10" t="s">
        <v>72</v>
      </c>
      <c r="BC65" s="12">
        <v>1000415663</v>
      </c>
      <c r="BD65" s="10" t="s">
        <v>205</v>
      </c>
    </row>
    <row r="66" spans="1:56" s="1" customFormat="1" ht="18" customHeight="1" x14ac:dyDescent="0.2">
      <c r="A66" s="12">
        <v>65</v>
      </c>
      <c r="B66" s="10" t="s">
        <v>91</v>
      </c>
      <c r="C66" s="10" t="s">
        <v>68</v>
      </c>
      <c r="D66" s="10" t="s">
        <v>98</v>
      </c>
      <c r="E66" s="10" t="s">
        <v>310</v>
      </c>
      <c r="F66" s="10"/>
      <c r="G66" s="10" t="s">
        <v>308</v>
      </c>
      <c r="H66" s="10" t="s">
        <v>74</v>
      </c>
      <c r="I66" s="12">
        <v>5</v>
      </c>
      <c r="J66" s="16">
        <v>2287.37</v>
      </c>
      <c r="K66" s="16">
        <v>11436.85</v>
      </c>
      <c r="L66" s="31">
        <v>3.8519999999999999</v>
      </c>
      <c r="M66" s="16">
        <v>2287.37</v>
      </c>
      <c r="N66" s="10" t="s">
        <v>204</v>
      </c>
      <c r="O66" s="16">
        <v>0</v>
      </c>
      <c r="P66" s="12">
        <v>0</v>
      </c>
      <c r="Q66" s="12">
        <v>0</v>
      </c>
      <c r="R66" s="10" t="s">
        <v>204</v>
      </c>
      <c r="S66" s="16">
        <v>0</v>
      </c>
      <c r="T66" s="9">
        <v>0</v>
      </c>
      <c r="U66" s="9">
        <v>0</v>
      </c>
      <c r="V66" s="10" t="s">
        <v>204</v>
      </c>
      <c r="W66" s="16">
        <v>0</v>
      </c>
      <c r="X66" s="9">
        <v>0</v>
      </c>
      <c r="Y66" s="9">
        <v>0</v>
      </c>
      <c r="Z66" s="10" t="s">
        <v>204</v>
      </c>
      <c r="AA66" s="16">
        <v>0</v>
      </c>
      <c r="AB66" s="9">
        <v>0</v>
      </c>
      <c r="AC66" s="9">
        <v>0</v>
      </c>
      <c r="AD66" s="10" t="s">
        <v>204</v>
      </c>
      <c r="AE66" s="16">
        <v>0</v>
      </c>
      <c r="AF66" s="9">
        <v>0</v>
      </c>
      <c r="AG66" s="9">
        <v>0</v>
      </c>
      <c r="AH66" s="10" t="s">
        <v>204</v>
      </c>
      <c r="AI66" s="16">
        <v>0</v>
      </c>
      <c r="AJ66" s="9">
        <v>0</v>
      </c>
      <c r="AK66" s="9">
        <v>0</v>
      </c>
      <c r="AL66" s="10" t="s">
        <v>204</v>
      </c>
      <c r="AM66" s="16">
        <v>0</v>
      </c>
      <c r="AN66" s="9">
        <v>0</v>
      </c>
      <c r="AO66" s="9">
        <v>0</v>
      </c>
      <c r="AP66" s="10" t="s">
        <v>204</v>
      </c>
      <c r="AQ66" s="16">
        <v>0</v>
      </c>
      <c r="AR66" s="9">
        <v>0</v>
      </c>
      <c r="AS66" s="9">
        <v>0</v>
      </c>
      <c r="AT66" s="10" t="s">
        <v>204</v>
      </c>
      <c r="AU66" s="16">
        <v>0</v>
      </c>
      <c r="AV66" s="9">
        <v>0</v>
      </c>
      <c r="AW66" s="9">
        <v>0</v>
      </c>
      <c r="AX66" s="10" t="s">
        <v>204</v>
      </c>
      <c r="AY66" s="16">
        <v>0</v>
      </c>
      <c r="AZ66" s="9">
        <v>0</v>
      </c>
      <c r="BA66" s="9">
        <v>0</v>
      </c>
      <c r="BB66" s="10" t="s">
        <v>72</v>
      </c>
      <c r="BC66" s="12">
        <v>1000415611</v>
      </c>
      <c r="BD66" s="10" t="s">
        <v>205</v>
      </c>
    </row>
    <row r="67" spans="1:56" s="1" customFormat="1" ht="18" customHeight="1" x14ac:dyDescent="0.2">
      <c r="A67" s="12">
        <v>66</v>
      </c>
      <c r="B67" s="10" t="s">
        <v>91</v>
      </c>
      <c r="C67" s="10" t="s">
        <v>68</v>
      </c>
      <c r="D67" s="10" t="s">
        <v>98</v>
      </c>
      <c r="E67" s="10" t="s">
        <v>311</v>
      </c>
      <c r="F67" s="10"/>
      <c r="G67" s="10" t="s">
        <v>312</v>
      </c>
      <c r="H67" s="10" t="s">
        <v>74</v>
      </c>
      <c r="I67" s="12">
        <v>5</v>
      </c>
      <c r="J67" s="16">
        <v>2134.83</v>
      </c>
      <c r="K67" s="16">
        <v>10674.15</v>
      </c>
      <c r="L67" s="31">
        <v>4.109</v>
      </c>
      <c r="M67" s="16">
        <v>2134.83</v>
      </c>
      <c r="N67" s="10" t="s">
        <v>204</v>
      </c>
      <c r="O67" s="16">
        <v>0</v>
      </c>
      <c r="P67" s="12">
        <v>0</v>
      </c>
      <c r="Q67" s="12">
        <v>0</v>
      </c>
      <c r="R67" s="10" t="s">
        <v>204</v>
      </c>
      <c r="S67" s="16">
        <v>0</v>
      </c>
      <c r="T67" s="9">
        <v>0</v>
      </c>
      <c r="U67" s="9">
        <v>0</v>
      </c>
      <c r="V67" s="10" t="s">
        <v>204</v>
      </c>
      <c r="W67" s="16">
        <v>0</v>
      </c>
      <c r="X67" s="9">
        <v>0</v>
      </c>
      <c r="Y67" s="9">
        <v>0</v>
      </c>
      <c r="Z67" s="10" t="s">
        <v>204</v>
      </c>
      <c r="AA67" s="16">
        <v>0</v>
      </c>
      <c r="AB67" s="9">
        <v>0</v>
      </c>
      <c r="AC67" s="9">
        <v>0</v>
      </c>
      <c r="AD67" s="10" t="s">
        <v>204</v>
      </c>
      <c r="AE67" s="16">
        <v>0</v>
      </c>
      <c r="AF67" s="9">
        <v>0</v>
      </c>
      <c r="AG67" s="9">
        <v>0</v>
      </c>
      <c r="AH67" s="10" t="s">
        <v>204</v>
      </c>
      <c r="AI67" s="16">
        <v>0</v>
      </c>
      <c r="AJ67" s="9">
        <v>0</v>
      </c>
      <c r="AK67" s="9">
        <v>0</v>
      </c>
      <c r="AL67" s="10" t="s">
        <v>204</v>
      </c>
      <c r="AM67" s="16">
        <v>0</v>
      </c>
      <c r="AN67" s="9">
        <v>0</v>
      </c>
      <c r="AO67" s="9">
        <v>0</v>
      </c>
      <c r="AP67" s="10" t="s">
        <v>204</v>
      </c>
      <c r="AQ67" s="16">
        <v>0</v>
      </c>
      <c r="AR67" s="9">
        <v>0</v>
      </c>
      <c r="AS67" s="9">
        <v>0</v>
      </c>
      <c r="AT67" s="10" t="s">
        <v>204</v>
      </c>
      <c r="AU67" s="16">
        <v>0</v>
      </c>
      <c r="AV67" s="9">
        <v>0</v>
      </c>
      <c r="AW67" s="9">
        <v>0</v>
      </c>
      <c r="AX67" s="10" t="s">
        <v>204</v>
      </c>
      <c r="AY67" s="16">
        <v>0</v>
      </c>
      <c r="AZ67" s="9">
        <v>0</v>
      </c>
      <c r="BA67" s="9">
        <v>0</v>
      </c>
      <c r="BB67" s="10" t="s">
        <v>72</v>
      </c>
      <c r="BC67" s="12">
        <v>1000409357</v>
      </c>
      <c r="BD67" s="10" t="s">
        <v>205</v>
      </c>
    </row>
    <row r="68" spans="1:56" s="1" customFormat="1" ht="18" customHeight="1" x14ac:dyDescent="0.2">
      <c r="A68" s="12">
        <v>67</v>
      </c>
      <c r="B68" s="10" t="s">
        <v>91</v>
      </c>
      <c r="C68" s="10" t="s">
        <v>68</v>
      </c>
      <c r="D68" s="10" t="s">
        <v>98</v>
      </c>
      <c r="E68" s="10" t="s">
        <v>313</v>
      </c>
      <c r="F68" s="10"/>
      <c r="G68" s="10" t="s">
        <v>314</v>
      </c>
      <c r="H68" s="10" t="s">
        <v>74</v>
      </c>
      <c r="I68" s="12">
        <v>8</v>
      </c>
      <c r="J68" s="16">
        <v>2058.56</v>
      </c>
      <c r="K68" s="16">
        <v>16468.48</v>
      </c>
      <c r="L68" s="31">
        <v>3.988</v>
      </c>
      <c r="M68" s="16">
        <v>2058.56</v>
      </c>
      <c r="N68" s="10" t="s">
        <v>204</v>
      </c>
      <c r="O68" s="16">
        <v>0</v>
      </c>
      <c r="P68" s="12">
        <v>0</v>
      </c>
      <c r="Q68" s="12">
        <v>0</v>
      </c>
      <c r="R68" s="10" t="s">
        <v>204</v>
      </c>
      <c r="S68" s="16">
        <v>0</v>
      </c>
      <c r="T68" s="9">
        <v>0</v>
      </c>
      <c r="U68" s="9">
        <v>0</v>
      </c>
      <c r="V68" s="10" t="s">
        <v>204</v>
      </c>
      <c r="W68" s="16">
        <v>0</v>
      </c>
      <c r="X68" s="9">
        <v>0</v>
      </c>
      <c r="Y68" s="9">
        <v>0</v>
      </c>
      <c r="Z68" s="10" t="s">
        <v>204</v>
      </c>
      <c r="AA68" s="16">
        <v>0</v>
      </c>
      <c r="AB68" s="9">
        <v>0</v>
      </c>
      <c r="AC68" s="9">
        <v>0</v>
      </c>
      <c r="AD68" s="10" t="s">
        <v>204</v>
      </c>
      <c r="AE68" s="16">
        <v>0</v>
      </c>
      <c r="AF68" s="9">
        <v>0</v>
      </c>
      <c r="AG68" s="9">
        <v>0</v>
      </c>
      <c r="AH68" s="10" t="s">
        <v>204</v>
      </c>
      <c r="AI68" s="16">
        <v>0</v>
      </c>
      <c r="AJ68" s="9">
        <v>0</v>
      </c>
      <c r="AK68" s="9">
        <v>0</v>
      </c>
      <c r="AL68" s="10" t="s">
        <v>204</v>
      </c>
      <c r="AM68" s="16">
        <v>0</v>
      </c>
      <c r="AN68" s="9">
        <v>0</v>
      </c>
      <c r="AO68" s="9">
        <v>0</v>
      </c>
      <c r="AP68" s="10" t="s">
        <v>204</v>
      </c>
      <c r="AQ68" s="16">
        <v>0</v>
      </c>
      <c r="AR68" s="9">
        <v>0</v>
      </c>
      <c r="AS68" s="9">
        <v>0</v>
      </c>
      <c r="AT68" s="10" t="s">
        <v>204</v>
      </c>
      <c r="AU68" s="16">
        <v>0</v>
      </c>
      <c r="AV68" s="9">
        <v>0</v>
      </c>
      <c r="AW68" s="9">
        <v>0</v>
      </c>
      <c r="AX68" s="10" t="s">
        <v>204</v>
      </c>
      <c r="AY68" s="16">
        <v>0</v>
      </c>
      <c r="AZ68" s="9">
        <v>0</v>
      </c>
      <c r="BA68" s="9">
        <v>0</v>
      </c>
      <c r="BB68" s="10" t="s">
        <v>72</v>
      </c>
      <c r="BC68" s="12">
        <v>1000406705</v>
      </c>
      <c r="BD68" s="10" t="s">
        <v>205</v>
      </c>
    </row>
    <row r="69" spans="1:56" s="1" customFormat="1" ht="18" customHeight="1" x14ac:dyDescent="0.2">
      <c r="A69" s="12">
        <v>68</v>
      </c>
      <c r="B69" s="10" t="s">
        <v>91</v>
      </c>
      <c r="C69" s="10" t="s">
        <v>68</v>
      </c>
      <c r="D69" s="10" t="s">
        <v>101</v>
      </c>
      <c r="E69" s="10" t="s">
        <v>293</v>
      </c>
      <c r="F69" s="10"/>
      <c r="G69" s="10" t="s">
        <v>294</v>
      </c>
      <c r="H69" s="10" t="s">
        <v>74</v>
      </c>
      <c r="I69" s="12">
        <v>40</v>
      </c>
      <c r="J69" s="16">
        <v>3393.31</v>
      </c>
      <c r="K69" s="16">
        <v>135732.4</v>
      </c>
      <c r="L69" s="31">
        <v>3.9780000000000002</v>
      </c>
      <c r="M69" s="16">
        <v>3393.31</v>
      </c>
      <c r="N69" s="10" t="s">
        <v>485</v>
      </c>
      <c r="O69" s="16">
        <v>3393.31</v>
      </c>
      <c r="P69" s="12">
        <v>2</v>
      </c>
      <c r="Q69" s="12">
        <v>14</v>
      </c>
      <c r="R69" s="10" t="s">
        <v>204</v>
      </c>
      <c r="S69" s="16">
        <v>0</v>
      </c>
      <c r="T69" s="9">
        <v>0</v>
      </c>
      <c r="U69" s="9">
        <v>0</v>
      </c>
      <c r="V69" s="10" t="s">
        <v>204</v>
      </c>
      <c r="W69" s="16">
        <v>0</v>
      </c>
      <c r="X69" s="9">
        <v>0</v>
      </c>
      <c r="Y69" s="9">
        <v>0</v>
      </c>
      <c r="Z69" s="10" t="s">
        <v>204</v>
      </c>
      <c r="AA69" s="16">
        <v>0</v>
      </c>
      <c r="AB69" s="9">
        <v>0</v>
      </c>
      <c r="AC69" s="9">
        <v>0</v>
      </c>
      <c r="AD69" s="10" t="s">
        <v>204</v>
      </c>
      <c r="AE69" s="16">
        <v>0</v>
      </c>
      <c r="AF69" s="9">
        <v>0</v>
      </c>
      <c r="AG69" s="9">
        <v>0</v>
      </c>
      <c r="AH69" s="10" t="s">
        <v>204</v>
      </c>
      <c r="AI69" s="16">
        <v>0</v>
      </c>
      <c r="AJ69" s="9">
        <v>0</v>
      </c>
      <c r="AK69" s="9">
        <v>0</v>
      </c>
      <c r="AL69" s="10" t="s">
        <v>204</v>
      </c>
      <c r="AM69" s="16">
        <v>0</v>
      </c>
      <c r="AN69" s="9">
        <v>0</v>
      </c>
      <c r="AO69" s="9">
        <v>0</v>
      </c>
      <c r="AP69" s="10" t="s">
        <v>204</v>
      </c>
      <c r="AQ69" s="16">
        <v>0</v>
      </c>
      <c r="AR69" s="9">
        <v>0</v>
      </c>
      <c r="AS69" s="9">
        <v>0</v>
      </c>
      <c r="AT69" s="10" t="s">
        <v>204</v>
      </c>
      <c r="AU69" s="16">
        <v>0</v>
      </c>
      <c r="AV69" s="9">
        <v>0</v>
      </c>
      <c r="AW69" s="9">
        <v>0</v>
      </c>
      <c r="AX69" s="10" t="s">
        <v>204</v>
      </c>
      <c r="AY69" s="16">
        <v>0</v>
      </c>
      <c r="AZ69" s="9">
        <v>0</v>
      </c>
      <c r="BA69" s="9">
        <v>0</v>
      </c>
      <c r="BB69" s="10" t="s">
        <v>72</v>
      </c>
      <c r="BC69" s="12">
        <v>1000420826</v>
      </c>
      <c r="BD69" s="10" t="s">
        <v>205</v>
      </c>
    </row>
    <row r="70" spans="1:56" s="1" customFormat="1" ht="18" customHeight="1" x14ac:dyDescent="0.2">
      <c r="A70" s="12">
        <v>69</v>
      </c>
      <c r="B70" s="10" t="s">
        <v>91</v>
      </c>
      <c r="C70" s="10" t="s">
        <v>68</v>
      </c>
      <c r="D70" s="10" t="s">
        <v>101</v>
      </c>
      <c r="E70" s="10" t="s">
        <v>295</v>
      </c>
      <c r="F70" s="10" t="s">
        <v>315</v>
      </c>
      <c r="G70" s="10" t="s">
        <v>297</v>
      </c>
      <c r="H70" s="10" t="s">
        <v>74</v>
      </c>
      <c r="I70" s="12">
        <v>25</v>
      </c>
      <c r="J70" s="16">
        <v>2439.92</v>
      </c>
      <c r="K70" s="16">
        <v>60998</v>
      </c>
      <c r="L70" s="31">
        <v>3.7879999999999998</v>
      </c>
      <c r="M70" s="16">
        <v>2439.92</v>
      </c>
      <c r="N70" s="10" t="s">
        <v>204</v>
      </c>
      <c r="O70" s="16">
        <v>0</v>
      </c>
      <c r="P70" s="12">
        <v>0</v>
      </c>
      <c r="Q70" s="12">
        <v>0</v>
      </c>
      <c r="R70" s="10" t="s">
        <v>204</v>
      </c>
      <c r="S70" s="16">
        <v>0</v>
      </c>
      <c r="T70" s="9">
        <v>0</v>
      </c>
      <c r="U70" s="9">
        <v>0</v>
      </c>
      <c r="V70" s="10" t="s">
        <v>204</v>
      </c>
      <c r="W70" s="16">
        <v>0</v>
      </c>
      <c r="X70" s="9">
        <v>0</v>
      </c>
      <c r="Y70" s="9">
        <v>0</v>
      </c>
      <c r="Z70" s="10" t="s">
        <v>204</v>
      </c>
      <c r="AA70" s="16">
        <v>0</v>
      </c>
      <c r="AB70" s="9">
        <v>0</v>
      </c>
      <c r="AC70" s="9">
        <v>0</v>
      </c>
      <c r="AD70" s="10" t="s">
        <v>204</v>
      </c>
      <c r="AE70" s="16">
        <v>0</v>
      </c>
      <c r="AF70" s="9">
        <v>0</v>
      </c>
      <c r="AG70" s="9">
        <v>0</v>
      </c>
      <c r="AH70" s="10" t="s">
        <v>204</v>
      </c>
      <c r="AI70" s="16">
        <v>0</v>
      </c>
      <c r="AJ70" s="9">
        <v>0</v>
      </c>
      <c r="AK70" s="9">
        <v>0</v>
      </c>
      <c r="AL70" s="10" t="s">
        <v>204</v>
      </c>
      <c r="AM70" s="16">
        <v>0</v>
      </c>
      <c r="AN70" s="9">
        <v>0</v>
      </c>
      <c r="AO70" s="9">
        <v>0</v>
      </c>
      <c r="AP70" s="10" t="s">
        <v>204</v>
      </c>
      <c r="AQ70" s="16">
        <v>0</v>
      </c>
      <c r="AR70" s="9">
        <v>0</v>
      </c>
      <c r="AS70" s="9">
        <v>0</v>
      </c>
      <c r="AT70" s="10" t="s">
        <v>204</v>
      </c>
      <c r="AU70" s="16">
        <v>0</v>
      </c>
      <c r="AV70" s="9">
        <v>0</v>
      </c>
      <c r="AW70" s="9">
        <v>0</v>
      </c>
      <c r="AX70" s="10" t="s">
        <v>204</v>
      </c>
      <c r="AY70" s="16">
        <v>0</v>
      </c>
      <c r="AZ70" s="9">
        <v>0</v>
      </c>
      <c r="BA70" s="9">
        <v>0</v>
      </c>
      <c r="BB70" s="10" t="s">
        <v>72</v>
      </c>
      <c r="BC70" s="12">
        <v>1000417193</v>
      </c>
      <c r="BD70" s="10" t="s">
        <v>205</v>
      </c>
    </row>
    <row r="71" spans="1:56" s="1" customFormat="1" ht="18" customHeight="1" x14ac:dyDescent="0.2">
      <c r="A71" s="12">
        <v>70</v>
      </c>
      <c r="B71" s="10" t="s">
        <v>91</v>
      </c>
      <c r="C71" s="10" t="s">
        <v>68</v>
      </c>
      <c r="D71" s="10" t="s">
        <v>101</v>
      </c>
      <c r="E71" s="10" t="s">
        <v>303</v>
      </c>
      <c r="F71" s="10" t="s">
        <v>304</v>
      </c>
      <c r="G71" s="10" t="s">
        <v>237</v>
      </c>
      <c r="H71" s="10" t="s">
        <v>74</v>
      </c>
      <c r="I71" s="12">
        <v>2</v>
      </c>
      <c r="J71" s="16">
        <v>2897.54</v>
      </c>
      <c r="K71" s="16">
        <v>5795.08</v>
      </c>
      <c r="L71" s="31">
        <v>4.0199999999999996</v>
      </c>
      <c r="M71" s="16">
        <v>2897.54</v>
      </c>
      <c r="N71" s="10" t="s">
        <v>204</v>
      </c>
      <c r="O71" s="16">
        <v>0</v>
      </c>
      <c r="P71" s="12">
        <v>0</v>
      </c>
      <c r="Q71" s="12">
        <v>0</v>
      </c>
      <c r="R71" s="10" t="s">
        <v>204</v>
      </c>
      <c r="S71" s="16">
        <v>0</v>
      </c>
      <c r="T71" s="9">
        <v>0</v>
      </c>
      <c r="U71" s="9">
        <v>0</v>
      </c>
      <c r="V71" s="10" t="s">
        <v>204</v>
      </c>
      <c r="W71" s="16">
        <v>0</v>
      </c>
      <c r="X71" s="9">
        <v>0</v>
      </c>
      <c r="Y71" s="9">
        <v>0</v>
      </c>
      <c r="Z71" s="10" t="s">
        <v>204</v>
      </c>
      <c r="AA71" s="16">
        <v>0</v>
      </c>
      <c r="AB71" s="9">
        <v>0</v>
      </c>
      <c r="AC71" s="9">
        <v>0</v>
      </c>
      <c r="AD71" s="10" t="s">
        <v>204</v>
      </c>
      <c r="AE71" s="16">
        <v>0</v>
      </c>
      <c r="AF71" s="9">
        <v>0</v>
      </c>
      <c r="AG71" s="9">
        <v>0</v>
      </c>
      <c r="AH71" s="10" t="s">
        <v>204</v>
      </c>
      <c r="AI71" s="16">
        <v>0</v>
      </c>
      <c r="AJ71" s="9">
        <v>0</v>
      </c>
      <c r="AK71" s="9">
        <v>0</v>
      </c>
      <c r="AL71" s="10" t="s">
        <v>204</v>
      </c>
      <c r="AM71" s="16">
        <v>0</v>
      </c>
      <c r="AN71" s="9">
        <v>0</v>
      </c>
      <c r="AO71" s="9">
        <v>0</v>
      </c>
      <c r="AP71" s="10" t="s">
        <v>204</v>
      </c>
      <c r="AQ71" s="16">
        <v>0</v>
      </c>
      <c r="AR71" s="9">
        <v>0</v>
      </c>
      <c r="AS71" s="9">
        <v>0</v>
      </c>
      <c r="AT71" s="10" t="s">
        <v>204</v>
      </c>
      <c r="AU71" s="16">
        <v>0</v>
      </c>
      <c r="AV71" s="9">
        <v>0</v>
      </c>
      <c r="AW71" s="9">
        <v>0</v>
      </c>
      <c r="AX71" s="10" t="s">
        <v>204</v>
      </c>
      <c r="AY71" s="16">
        <v>0</v>
      </c>
      <c r="AZ71" s="9">
        <v>0</v>
      </c>
      <c r="BA71" s="9">
        <v>0</v>
      </c>
      <c r="BB71" s="10" t="s">
        <v>72</v>
      </c>
      <c r="BC71" s="12">
        <v>1000410565</v>
      </c>
      <c r="BD71" s="10" t="s">
        <v>205</v>
      </c>
    </row>
    <row r="72" spans="1:56" s="1" customFormat="1" ht="18" customHeight="1" x14ac:dyDescent="0.2">
      <c r="A72" s="12">
        <v>71</v>
      </c>
      <c r="B72" s="10" t="s">
        <v>91</v>
      </c>
      <c r="C72" s="10" t="s">
        <v>68</v>
      </c>
      <c r="D72" s="10" t="s">
        <v>101</v>
      </c>
      <c r="E72" s="10" t="s">
        <v>316</v>
      </c>
      <c r="F72" s="10" t="s">
        <v>317</v>
      </c>
      <c r="G72" s="10" t="s">
        <v>314</v>
      </c>
      <c r="H72" s="10" t="s">
        <v>74</v>
      </c>
      <c r="I72" s="12">
        <v>2</v>
      </c>
      <c r="J72" s="16">
        <v>2706.86</v>
      </c>
      <c r="K72" s="16">
        <v>5413.72</v>
      </c>
      <c r="L72" s="31">
        <v>3.9809999999999999</v>
      </c>
      <c r="M72" s="16">
        <v>2706.86</v>
      </c>
      <c r="N72" s="10" t="s">
        <v>204</v>
      </c>
      <c r="O72" s="16">
        <v>0</v>
      </c>
      <c r="P72" s="12">
        <v>0</v>
      </c>
      <c r="Q72" s="12">
        <v>0</v>
      </c>
      <c r="R72" s="10" t="s">
        <v>204</v>
      </c>
      <c r="S72" s="16">
        <v>0</v>
      </c>
      <c r="T72" s="9">
        <v>0</v>
      </c>
      <c r="U72" s="9">
        <v>0</v>
      </c>
      <c r="V72" s="10" t="s">
        <v>204</v>
      </c>
      <c r="W72" s="16">
        <v>0</v>
      </c>
      <c r="X72" s="9">
        <v>0</v>
      </c>
      <c r="Y72" s="9">
        <v>0</v>
      </c>
      <c r="Z72" s="10" t="s">
        <v>204</v>
      </c>
      <c r="AA72" s="16">
        <v>0</v>
      </c>
      <c r="AB72" s="9">
        <v>0</v>
      </c>
      <c r="AC72" s="9">
        <v>0</v>
      </c>
      <c r="AD72" s="10" t="s">
        <v>204</v>
      </c>
      <c r="AE72" s="16">
        <v>0</v>
      </c>
      <c r="AF72" s="9">
        <v>0</v>
      </c>
      <c r="AG72" s="9">
        <v>0</v>
      </c>
      <c r="AH72" s="10" t="s">
        <v>204</v>
      </c>
      <c r="AI72" s="16">
        <v>0</v>
      </c>
      <c r="AJ72" s="9">
        <v>0</v>
      </c>
      <c r="AK72" s="9">
        <v>0</v>
      </c>
      <c r="AL72" s="10" t="s">
        <v>204</v>
      </c>
      <c r="AM72" s="16">
        <v>0</v>
      </c>
      <c r="AN72" s="9">
        <v>0</v>
      </c>
      <c r="AO72" s="9">
        <v>0</v>
      </c>
      <c r="AP72" s="10" t="s">
        <v>204</v>
      </c>
      <c r="AQ72" s="16">
        <v>0</v>
      </c>
      <c r="AR72" s="9">
        <v>0</v>
      </c>
      <c r="AS72" s="9">
        <v>0</v>
      </c>
      <c r="AT72" s="10" t="s">
        <v>204</v>
      </c>
      <c r="AU72" s="16">
        <v>0</v>
      </c>
      <c r="AV72" s="9">
        <v>0</v>
      </c>
      <c r="AW72" s="9">
        <v>0</v>
      </c>
      <c r="AX72" s="10" t="s">
        <v>204</v>
      </c>
      <c r="AY72" s="16">
        <v>0</v>
      </c>
      <c r="AZ72" s="9">
        <v>0</v>
      </c>
      <c r="BA72" s="9">
        <v>0</v>
      </c>
      <c r="BB72" s="10" t="s">
        <v>72</v>
      </c>
      <c r="BC72" s="12">
        <v>1000406694</v>
      </c>
      <c r="BD72" s="10" t="s">
        <v>205</v>
      </c>
    </row>
    <row r="73" spans="1:56" s="1" customFormat="1" ht="18" customHeight="1" x14ac:dyDescent="0.2">
      <c r="A73" s="12">
        <v>72</v>
      </c>
      <c r="B73" s="10" t="s">
        <v>91</v>
      </c>
      <c r="C73" s="10" t="s">
        <v>68</v>
      </c>
      <c r="D73" s="10" t="s">
        <v>108</v>
      </c>
      <c r="E73" s="10" t="s">
        <v>318</v>
      </c>
      <c r="F73" s="10" t="s">
        <v>319</v>
      </c>
      <c r="G73" s="10" t="s">
        <v>210</v>
      </c>
      <c r="H73" s="10" t="s">
        <v>74</v>
      </c>
      <c r="I73" s="12">
        <v>62</v>
      </c>
      <c r="J73" s="16">
        <v>990.76</v>
      </c>
      <c r="K73" s="16">
        <v>61427.12</v>
      </c>
      <c r="L73" s="31">
        <v>3.76</v>
      </c>
      <c r="M73" s="16">
        <v>990.76</v>
      </c>
      <c r="N73" s="10" t="s">
        <v>486</v>
      </c>
      <c r="O73" s="16">
        <v>990.76</v>
      </c>
      <c r="P73" s="12">
        <v>7</v>
      </c>
      <c r="Q73" s="12">
        <v>62</v>
      </c>
      <c r="R73" s="10" t="s">
        <v>204</v>
      </c>
      <c r="S73" s="16">
        <v>0</v>
      </c>
      <c r="T73" s="9">
        <v>0</v>
      </c>
      <c r="U73" s="9">
        <v>0</v>
      </c>
      <c r="V73" s="10" t="s">
        <v>204</v>
      </c>
      <c r="W73" s="16">
        <v>0</v>
      </c>
      <c r="X73" s="9">
        <v>0</v>
      </c>
      <c r="Y73" s="9">
        <v>0</v>
      </c>
      <c r="Z73" s="10" t="s">
        <v>204</v>
      </c>
      <c r="AA73" s="16">
        <v>0</v>
      </c>
      <c r="AB73" s="9">
        <v>0</v>
      </c>
      <c r="AC73" s="9">
        <v>0</v>
      </c>
      <c r="AD73" s="10" t="s">
        <v>204</v>
      </c>
      <c r="AE73" s="16">
        <v>0</v>
      </c>
      <c r="AF73" s="9">
        <v>0</v>
      </c>
      <c r="AG73" s="9">
        <v>0</v>
      </c>
      <c r="AH73" s="10" t="s">
        <v>204</v>
      </c>
      <c r="AI73" s="16">
        <v>0</v>
      </c>
      <c r="AJ73" s="9">
        <v>0</v>
      </c>
      <c r="AK73" s="9">
        <v>0</v>
      </c>
      <c r="AL73" s="10" t="s">
        <v>204</v>
      </c>
      <c r="AM73" s="16">
        <v>0</v>
      </c>
      <c r="AN73" s="9">
        <v>0</v>
      </c>
      <c r="AO73" s="9">
        <v>0</v>
      </c>
      <c r="AP73" s="10" t="s">
        <v>204</v>
      </c>
      <c r="AQ73" s="16">
        <v>0</v>
      </c>
      <c r="AR73" s="9">
        <v>0</v>
      </c>
      <c r="AS73" s="9">
        <v>0</v>
      </c>
      <c r="AT73" s="10" t="s">
        <v>204</v>
      </c>
      <c r="AU73" s="16">
        <v>0</v>
      </c>
      <c r="AV73" s="9">
        <v>0</v>
      </c>
      <c r="AW73" s="9">
        <v>0</v>
      </c>
      <c r="AX73" s="10" t="s">
        <v>204</v>
      </c>
      <c r="AY73" s="16">
        <v>0</v>
      </c>
      <c r="AZ73" s="9">
        <v>0</v>
      </c>
      <c r="BA73" s="9">
        <v>0</v>
      </c>
      <c r="BB73" s="10" t="s">
        <v>72</v>
      </c>
      <c r="BC73" s="12">
        <v>1000438257</v>
      </c>
      <c r="BD73" s="10" t="s">
        <v>205</v>
      </c>
    </row>
    <row r="74" spans="1:56" s="1" customFormat="1" ht="18" customHeight="1" x14ac:dyDescent="0.2">
      <c r="A74" s="12">
        <v>73</v>
      </c>
      <c r="B74" s="10" t="s">
        <v>91</v>
      </c>
      <c r="C74" s="10" t="s">
        <v>68</v>
      </c>
      <c r="D74" s="10" t="s">
        <v>108</v>
      </c>
      <c r="E74" s="10" t="s">
        <v>318</v>
      </c>
      <c r="F74" s="10" t="s">
        <v>320</v>
      </c>
      <c r="G74" s="10" t="s">
        <v>210</v>
      </c>
      <c r="H74" s="10" t="s">
        <v>74</v>
      </c>
      <c r="I74" s="12">
        <v>52</v>
      </c>
      <c r="J74" s="16">
        <v>990.76</v>
      </c>
      <c r="K74" s="16">
        <v>51519.519999999997</v>
      </c>
      <c r="L74" s="31">
        <v>3.76</v>
      </c>
      <c r="M74" s="16">
        <v>990.76</v>
      </c>
      <c r="N74" s="10" t="s">
        <v>486</v>
      </c>
      <c r="O74" s="16">
        <v>990.76</v>
      </c>
      <c r="P74" s="12">
        <v>39</v>
      </c>
      <c r="Q74" s="12">
        <v>39</v>
      </c>
      <c r="R74" s="10" t="s">
        <v>204</v>
      </c>
      <c r="S74" s="16">
        <v>0</v>
      </c>
      <c r="T74" s="9">
        <v>0</v>
      </c>
      <c r="U74" s="9">
        <v>0</v>
      </c>
      <c r="V74" s="10" t="s">
        <v>204</v>
      </c>
      <c r="W74" s="16">
        <v>0</v>
      </c>
      <c r="X74" s="9">
        <v>0</v>
      </c>
      <c r="Y74" s="9">
        <v>0</v>
      </c>
      <c r="Z74" s="10" t="s">
        <v>204</v>
      </c>
      <c r="AA74" s="16">
        <v>0</v>
      </c>
      <c r="AB74" s="9">
        <v>0</v>
      </c>
      <c r="AC74" s="9">
        <v>0</v>
      </c>
      <c r="AD74" s="10" t="s">
        <v>204</v>
      </c>
      <c r="AE74" s="16">
        <v>0</v>
      </c>
      <c r="AF74" s="9">
        <v>0</v>
      </c>
      <c r="AG74" s="9">
        <v>0</v>
      </c>
      <c r="AH74" s="10" t="s">
        <v>204</v>
      </c>
      <c r="AI74" s="16">
        <v>0</v>
      </c>
      <c r="AJ74" s="9">
        <v>0</v>
      </c>
      <c r="AK74" s="9">
        <v>0</v>
      </c>
      <c r="AL74" s="10" t="s">
        <v>204</v>
      </c>
      <c r="AM74" s="16">
        <v>0</v>
      </c>
      <c r="AN74" s="9">
        <v>0</v>
      </c>
      <c r="AO74" s="9">
        <v>0</v>
      </c>
      <c r="AP74" s="10" t="s">
        <v>204</v>
      </c>
      <c r="AQ74" s="16">
        <v>0</v>
      </c>
      <c r="AR74" s="9">
        <v>0</v>
      </c>
      <c r="AS74" s="9">
        <v>0</v>
      </c>
      <c r="AT74" s="10" t="s">
        <v>204</v>
      </c>
      <c r="AU74" s="16">
        <v>0</v>
      </c>
      <c r="AV74" s="9">
        <v>0</v>
      </c>
      <c r="AW74" s="9">
        <v>0</v>
      </c>
      <c r="AX74" s="10" t="s">
        <v>204</v>
      </c>
      <c r="AY74" s="16">
        <v>0</v>
      </c>
      <c r="AZ74" s="9">
        <v>0</v>
      </c>
      <c r="BA74" s="9">
        <v>0</v>
      </c>
      <c r="BB74" s="10" t="s">
        <v>72</v>
      </c>
      <c r="BC74" s="12">
        <v>1000438257</v>
      </c>
      <c r="BD74" s="10" t="s">
        <v>205</v>
      </c>
    </row>
    <row r="75" spans="1:56" s="1" customFormat="1" ht="18" customHeight="1" x14ac:dyDescent="0.2">
      <c r="A75" s="12">
        <v>74</v>
      </c>
      <c r="B75" s="10" t="s">
        <v>91</v>
      </c>
      <c r="C75" s="10" t="s">
        <v>68</v>
      </c>
      <c r="D75" s="10" t="s">
        <v>108</v>
      </c>
      <c r="E75" s="10" t="s">
        <v>321</v>
      </c>
      <c r="F75" s="10"/>
      <c r="G75" s="10" t="s">
        <v>322</v>
      </c>
      <c r="H75" s="10" t="s">
        <v>74</v>
      </c>
      <c r="I75" s="12">
        <v>57</v>
      </c>
      <c r="J75" s="16">
        <v>1067.03</v>
      </c>
      <c r="K75" s="16">
        <v>60820.71</v>
      </c>
      <c r="L75" s="31">
        <v>3.7570000000000001</v>
      </c>
      <c r="M75" s="16">
        <v>1067.03</v>
      </c>
      <c r="N75" s="10" t="s">
        <v>204</v>
      </c>
      <c r="O75" s="16">
        <v>0</v>
      </c>
      <c r="P75" s="12">
        <v>0</v>
      </c>
      <c r="Q75" s="12">
        <v>0</v>
      </c>
      <c r="R75" s="10" t="s">
        <v>204</v>
      </c>
      <c r="S75" s="16">
        <v>0</v>
      </c>
      <c r="T75" s="9">
        <v>0</v>
      </c>
      <c r="U75" s="9">
        <v>0</v>
      </c>
      <c r="V75" s="10" t="s">
        <v>204</v>
      </c>
      <c r="W75" s="16">
        <v>0</v>
      </c>
      <c r="X75" s="9">
        <v>0</v>
      </c>
      <c r="Y75" s="9">
        <v>0</v>
      </c>
      <c r="Z75" s="10" t="s">
        <v>204</v>
      </c>
      <c r="AA75" s="16">
        <v>0</v>
      </c>
      <c r="AB75" s="9">
        <v>0</v>
      </c>
      <c r="AC75" s="9">
        <v>0</v>
      </c>
      <c r="AD75" s="10" t="s">
        <v>204</v>
      </c>
      <c r="AE75" s="16">
        <v>0</v>
      </c>
      <c r="AF75" s="9">
        <v>0</v>
      </c>
      <c r="AG75" s="9">
        <v>0</v>
      </c>
      <c r="AH75" s="10" t="s">
        <v>204</v>
      </c>
      <c r="AI75" s="16">
        <v>0</v>
      </c>
      <c r="AJ75" s="9">
        <v>0</v>
      </c>
      <c r="AK75" s="9">
        <v>0</v>
      </c>
      <c r="AL75" s="10" t="s">
        <v>204</v>
      </c>
      <c r="AM75" s="16">
        <v>0</v>
      </c>
      <c r="AN75" s="9">
        <v>0</v>
      </c>
      <c r="AO75" s="9">
        <v>0</v>
      </c>
      <c r="AP75" s="10" t="s">
        <v>204</v>
      </c>
      <c r="AQ75" s="16">
        <v>0</v>
      </c>
      <c r="AR75" s="9">
        <v>0</v>
      </c>
      <c r="AS75" s="9">
        <v>0</v>
      </c>
      <c r="AT75" s="10" t="s">
        <v>204</v>
      </c>
      <c r="AU75" s="16">
        <v>0</v>
      </c>
      <c r="AV75" s="9">
        <v>0</v>
      </c>
      <c r="AW75" s="9">
        <v>0</v>
      </c>
      <c r="AX75" s="10" t="s">
        <v>204</v>
      </c>
      <c r="AY75" s="16">
        <v>0</v>
      </c>
      <c r="AZ75" s="9">
        <v>0</v>
      </c>
      <c r="BA75" s="9">
        <v>0</v>
      </c>
      <c r="BB75" s="10" t="s">
        <v>72</v>
      </c>
      <c r="BC75" s="12">
        <v>1000435628</v>
      </c>
      <c r="BD75" s="10" t="s">
        <v>205</v>
      </c>
    </row>
    <row r="76" spans="1:56" s="1" customFormat="1" ht="18" customHeight="1" x14ac:dyDescent="0.2">
      <c r="A76" s="12">
        <v>75</v>
      </c>
      <c r="B76" s="10" t="s">
        <v>91</v>
      </c>
      <c r="C76" s="10" t="s">
        <v>68</v>
      </c>
      <c r="D76" s="10" t="s">
        <v>108</v>
      </c>
      <c r="E76" s="10" t="s">
        <v>321</v>
      </c>
      <c r="F76" s="10"/>
      <c r="G76" s="10" t="s">
        <v>322</v>
      </c>
      <c r="H76" s="10" t="s">
        <v>74</v>
      </c>
      <c r="I76" s="12">
        <v>57</v>
      </c>
      <c r="J76" s="16">
        <v>1067.03</v>
      </c>
      <c r="K76" s="16">
        <v>60820.71</v>
      </c>
      <c r="L76" s="31">
        <v>3.7570000000000001</v>
      </c>
      <c r="M76" s="16">
        <v>1067.03</v>
      </c>
      <c r="N76" s="10" t="s">
        <v>204</v>
      </c>
      <c r="O76" s="16">
        <v>0</v>
      </c>
      <c r="P76" s="12">
        <v>0</v>
      </c>
      <c r="Q76" s="12">
        <v>0</v>
      </c>
      <c r="R76" s="10" t="s">
        <v>204</v>
      </c>
      <c r="S76" s="16">
        <v>0</v>
      </c>
      <c r="T76" s="9">
        <v>0</v>
      </c>
      <c r="U76" s="9">
        <v>0</v>
      </c>
      <c r="V76" s="10" t="s">
        <v>204</v>
      </c>
      <c r="W76" s="16">
        <v>0</v>
      </c>
      <c r="X76" s="9">
        <v>0</v>
      </c>
      <c r="Y76" s="9">
        <v>0</v>
      </c>
      <c r="Z76" s="10" t="s">
        <v>204</v>
      </c>
      <c r="AA76" s="16">
        <v>0</v>
      </c>
      <c r="AB76" s="9">
        <v>0</v>
      </c>
      <c r="AC76" s="9">
        <v>0</v>
      </c>
      <c r="AD76" s="10" t="s">
        <v>204</v>
      </c>
      <c r="AE76" s="16">
        <v>0</v>
      </c>
      <c r="AF76" s="9">
        <v>0</v>
      </c>
      <c r="AG76" s="9">
        <v>0</v>
      </c>
      <c r="AH76" s="10" t="s">
        <v>204</v>
      </c>
      <c r="AI76" s="16">
        <v>0</v>
      </c>
      <c r="AJ76" s="9">
        <v>0</v>
      </c>
      <c r="AK76" s="9">
        <v>0</v>
      </c>
      <c r="AL76" s="10" t="s">
        <v>204</v>
      </c>
      <c r="AM76" s="16">
        <v>0</v>
      </c>
      <c r="AN76" s="9">
        <v>0</v>
      </c>
      <c r="AO76" s="9">
        <v>0</v>
      </c>
      <c r="AP76" s="10" t="s">
        <v>204</v>
      </c>
      <c r="AQ76" s="16">
        <v>0</v>
      </c>
      <c r="AR76" s="9">
        <v>0</v>
      </c>
      <c r="AS76" s="9">
        <v>0</v>
      </c>
      <c r="AT76" s="10" t="s">
        <v>204</v>
      </c>
      <c r="AU76" s="16">
        <v>0</v>
      </c>
      <c r="AV76" s="9">
        <v>0</v>
      </c>
      <c r="AW76" s="9">
        <v>0</v>
      </c>
      <c r="AX76" s="10" t="s">
        <v>204</v>
      </c>
      <c r="AY76" s="16">
        <v>0</v>
      </c>
      <c r="AZ76" s="9">
        <v>0</v>
      </c>
      <c r="BA76" s="9">
        <v>0</v>
      </c>
      <c r="BB76" s="10" t="s">
        <v>72</v>
      </c>
      <c r="BC76" s="12">
        <v>1000435628</v>
      </c>
      <c r="BD76" s="10" t="s">
        <v>205</v>
      </c>
    </row>
    <row r="77" spans="1:56" s="1" customFormat="1" ht="18" customHeight="1" x14ac:dyDescent="0.2">
      <c r="A77" s="12">
        <v>76</v>
      </c>
      <c r="B77" s="10" t="s">
        <v>91</v>
      </c>
      <c r="C77" s="10" t="s">
        <v>68</v>
      </c>
      <c r="D77" s="10" t="s">
        <v>112</v>
      </c>
      <c r="E77" s="10" t="s">
        <v>211</v>
      </c>
      <c r="F77" s="10"/>
      <c r="G77" s="10" t="s">
        <v>208</v>
      </c>
      <c r="H77" s="10" t="s">
        <v>74</v>
      </c>
      <c r="I77" s="12">
        <v>65</v>
      </c>
      <c r="J77" s="16">
        <v>1295.8499999999999</v>
      </c>
      <c r="K77" s="16">
        <v>84230.25</v>
      </c>
      <c r="L77" s="31">
        <v>3.8029999999999999</v>
      </c>
      <c r="M77" s="16">
        <v>1295.8499999999999</v>
      </c>
      <c r="N77" s="10" t="s">
        <v>487</v>
      </c>
      <c r="O77" s="16">
        <v>1295.8499999999999</v>
      </c>
      <c r="P77" s="12">
        <v>5</v>
      </c>
      <c r="Q77" s="12">
        <v>53</v>
      </c>
      <c r="R77" s="10" t="s">
        <v>204</v>
      </c>
      <c r="S77" s="16">
        <v>0</v>
      </c>
      <c r="T77" s="9">
        <v>0</v>
      </c>
      <c r="U77" s="9">
        <v>0</v>
      </c>
      <c r="V77" s="10" t="s">
        <v>204</v>
      </c>
      <c r="W77" s="16">
        <v>0</v>
      </c>
      <c r="X77" s="9">
        <v>0</v>
      </c>
      <c r="Y77" s="9">
        <v>0</v>
      </c>
      <c r="Z77" s="10" t="s">
        <v>204</v>
      </c>
      <c r="AA77" s="16">
        <v>0</v>
      </c>
      <c r="AB77" s="9">
        <v>0</v>
      </c>
      <c r="AC77" s="9">
        <v>0</v>
      </c>
      <c r="AD77" s="10" t="s">
        <v>204</v>
      </c>
      <c r="AE77" s="16">
        <v>0</v>
      </c>
      <c r="AF77" s="9">
        <v>0</v>
      </c>
      <c r="AG77" s="9">
        <v>0</v>
      </c>
      <c r="AH77" s="10" t="s">
        <v>204</v>
      </c>
      <c r="AI77" s="16">
        <v>0</v>
      </c>
      <c r="AJ77" s="9">
        <v>0</v>
      </c>
      <c r="AK77" s="9">
        <v>0</v>
      </c>
      <c r="AL77" s="10" t="s">
        <v>204</v>
      </c>
      <c r="AM77" s="16">
        <v>0</v>
      </c>
      <c r="AN77" s="9">
        <v>0</v>
      </c>
      <c r="AO77" s="9">
        <v>0</v>
      </c>
      <c r="AP77" s="10" t="s">
        <v>204</v>
      </c>
      <c r="AQ77" s="16">
        <v>0</v>
      </c>
      <c r="AR77" s="9">
        <v>0</v>
      </c>
      <c r="AS77" s="9">
        <v>0</v>
      </c>
      <c r="AT77" s="10" t="s">
        <v>204</v>
      </c>
      <c r="AU77" s="16">
        <v>0</v>
      </c>
      <c r="AV77" s="9">
        <v>0</v>
      </c>
      <c r="AW77" s="9">
        <v>0</v>
      </c>
      <c r="AX77" s="10" t="s">
        <v>204</v>
      </c>
      <c r="AY77" s="16">
        <v>0</v>
      </c>
      <c r="AZ77" s="9">
        <v>0</v>
      </c>
      <c r="BA77" s="9">
        <v>0</v>
      </c>
      <c r="BB77" s="10" t="s">
        <v>72</v>
      </c>
      <c r="BC77" s="12">
        <v>1000439898</v>
      </c>
      <c r="BD77" s="10" t="s">
        <v>205</v>
      </c>
    </row>
    <row r="78" spans="1:56" s="1" customFormat="1" ht="18" customHeight="1" x14ac:dyDescent="0.2">
      <c r="A78" s="12">
        <v>77</v>
      </c>
      <c r="B78" s="10" t="s">
        <v>91</v>
      </c>
      <c r="C78" s="10" t="s">
        <v>68</v>
      </c>
      <c r="D78" s="10" t="s">
        <v>112</v>
      </c>
      <c r="E78" s="10" t="s">
        <v>211</v>
      </c>
      <c r="F78" s="10"/>
      <c r="G78" s="10" t="s">
        <v>323</v>
      </c>
      <c r="H78" s="10" t="s">
        <v>74</v>
      </c>
      <c r="I78" s="12">
        <v>-1</v>
      </c>
      <c r="J78" s="16">
        <v>1295.8499999999999</v>
      </c>
      <c r="K78" s="16">
        <v>-1295.8499999999999</v>
      </c>
      <c r="L78" s="31">
        <v>3.8029999999999999</v>
      </c>
      <c r="M78" s="16">
        <v>1295.8499999999999</v>
      </c>
      <c r="N78" s="10" t="s">
        <v>204</v>
      </c>
      <c r="O78" s="16">
        <v>0</v>
      </c>
      <c r="P78" s="12">
        <v>0</v>
      </c>
      <c r="Q78" s="12">
        <v>0</v>
      </c>
      <c r="R78" s="10" t="s">
        <v>204</v>
      </c>
      <c r="S78" s="16">
        <v>0</v>
      </c>
      <c r="T78" s="9">
        <v>0</v>
      </c>
      <c r="U78" s="9">
        <v>0</v>
      </c>
      <c r="V78" s="10" t="s">
        <v>204</v>
      </c>
      <c r="W78" s="16">
        <v>0</v>
      </c>
      <c r="X78" s="9">
        <v>0</v>
      </c>
      <c r="Y78" s="9">
        <v>0</v>
      </c>
      <c r="Z78" s="10" t="s">
        <v>204</v>
      </c>
      <c r="AA78" s="16">
        <v>0</v>
      </c>
      <c r="AB78" s="9">
        <v>0</v>
      </c>
      <c r="AC78" s="9">
        <v>0</v>
      </c>
      <c r="AD78" s="10" t="s">
        <v>204</v>
      </c>
      <c r="AE78" s="16">
        <v>0</v>
      </c>
      <c r="AF78" s="9">
        <v>0</v>
      </c>
      <c r="AG78" s="9">
        <v>0</v>
      </c>
      <c r="AH78" s="10" t="s">
        <v>204</v>
      </c>
      <c r="AI78" s="16">
        <v>0</v>
      </c>
      <c r="AJ78" s="9">
        <v>0</v>
      </c>
      <c r="AK78" s="9">
        <v>0</v>
      </c>
      <c r="AL78" s="10" t="s">
        <v>204</v>
      </c>
      <c r="AM78" s="16">
        <v>0</v>
      </c>
      <c r="AN78" s="9">
        <v>0</v>
      </c>
      <c r="AO78" s="9">
        <v>0</v>
      </c>
      <c r="AP78" s="10" t="s">
        <v>204</v>
      </c>
      <c r="AQ78" s="16">
        <v>0</v>
      </c>
      <c r="AR78" s="9">
        <v>0</v>
      </c>
      <c r="AS78" s="9">
        <v>0</v>
      </c>
      <c r="AT78" s="10" t="s">
        <v>204</v>
      </c>
      <c r="AU78" s="16">
        <v>0</v>
      </c>
      <c r="AV78" s="9">
        <v>0</v>
      </c>
      <c r="AW78" s="9">
        <v>0</v>
      </c>
      <c r="AX78" s="10" t="s">
        <v>204</v>
      </c>
      <c r="AY78" s="16">
        <v>0</v>
      </c>
      <c r="AZ78" s="9">
        <v>0</v>
      </c>
      <c r="BA78" s="9">
        <v>0</v>
      </c>
      <c r="BB78" s="10" t="s">
        <v>72</v>
      </c>
      <c r="BC78" s="12">
        <v>3000033065</v>
      </c>
      <c r="BD78" s="10" t="s">
        <v>233</v>
      </c>
    </row>
    <row r="79" spans="1:56" s="1" customFormat="1" ht="18" customHeight="1" x14ac:dyDescent="0.2">
      <c r="A79" s="12">
        <v>78</v>
      </c>
      <c r="B79" s="10" t="s">
        <v>91</v>
      </c>
      <c r="C79" s="10" t="s">
        <v>68</v>
      </c>
      <c r="D79" s="10" t="s">
        <v>112</v>
      </c>
      <c r="E79" s="10" t="s">
        <v>211</v>
      </c>
      <c r="F79" s="10" t="s">
        <v>324</v>
      </c>
      <c r="G79" s="10" t="s">
        <v>208</v>
      </c>
      <c r="H79" s="10" t="s">
        <v>74</v>
      </c>
      <c r="I79" s="12">
        <v>65</v>
      </c>
      <c r="J79" s="16">
        <v>1295.8499999999999</v>
      </c>
      <c r="K79" s="16">
        <v>84230.25</v>
      </c>
      <c r="L79" s="31">
        <v>3.8029999999999999</v>
      </c>
      <c r="M79" s="16">
        <v>1295.8499999999999</v>
      </c>
      <c r="N79" s="10" t="s">
        <v>487</v>
      </c>
      <c r="O79" s="16">
        <v>1295.8499999999999</v>
      </c>
      <c r="P79" s="12"/>
      <c r="Q79" s="12">
        <v>65</v>
      </c>
      <c r="R79" s="10" t="s">
        <v>204</v>
      </c>
      <c r="S79" s="16">
        <v>0</v>
      </c>
      <c r="T79" s="9">
        <v>0</v>
      </c>
      <c r="U79" s="9">
        <v>0</v>
      </c>
      <c r="V79" s="10" t="s">
        <v>204</v>
      </c>
      <c r="W79" s="16">
        <v>0</v>
      </c>
      <c r="X79" s="9">
        <v>0</v>
      </c>
      <c r="Y79" s="9">
        <v>0</v>
      </c>
      <c r="Z79" s="10" t="s">
        <v>204</v>
      </c>
      <c r="AA79" s="16">
        <v>0</v>
      </c>
      <c r="AB79" s="9">
        <v>0</v>
      </c>
      <c r="AC79" s="9">
        <v>0</v>
      </c>
      <c r="AD79" s="10" t="s">
        <v>204</v>
      </c>
      <c r="AE79" s="16">
        <v>0</v>
      </c>
      <c r="AF79" s="9">
        <v>0</v>
      </c>
      <c r="AG79" s="9">
        <v>0</v>
      </c>
      <c r="AH79" s="10" t="s">
        <v>204</v>
      </c>
      <c r="AI79" s="16">
        <v>0</v>
      </c>
      <c r="AJ79" s="9">
        <v>0</v>
      </c>
      <c r="AK79" s="9">
        <v>0</v>
      </c>
      <c r="AL79" s="10" t="s">
        <v>204</v>
      </c>
      <c r="AM79" s="16">
        <v>0</v>
      </c>
      <c r="AN79" s="9">
        <v>0</v>
      </c>
      <c r="AO79" s="9">
        <v>0</v>
      </c>
      <c r="AP79" s="10" t="s">
        <v>204</v>
      </c>
      <c r="AQ79" s="16">
        <v>0</v>
      </c>
      <c r="AR79" s="9">
        <v>0</v>
      </c>
      <c r="AS79" s="9">
        <v>0</v>
      </c>
      <c r="AT79" s="10" t="s">
        <v>204</v>
      </c>
      <c r="AU79" s="16">
        <v>0</v>
      </c>
      <c r="AV79" s="9">
        <v>0</v>
      </c>
      <c r="AW79" s="9">
        <v>0</v>
      </c>
      <c r="AX79" s="10" t="s">
        <v>204</v>
      </c>
      <c r="AY79" s="16">
        <v>0</v>
      </c>
      <c r="AZ79" s="9">
        <v>0</v>
      </c>
      <c r="BA79" s="9">
        <v>0</v>
      </c>
      <c r="BB79" s="10" t="s">
        <v>72</v>
      </c>
      <c r="BC79" s="12">
        <v>1000439898</v>
      </c>
      <c r="BD79" s="10" t="s">
        <v>205</v>
      </c>
    </row>
    <row r="80" spans="1:56" s="1" customFormat="1" ht="18" customHeight="1" x14ac:dyDescent="0.2">
      <c r="A80" s="12">
        <v>79</v>
      </c>
      <c r="B80" s="10" t="s">
        <v>91</v>
      </c>
      <c r="C80" s="10" t="s">
        <v>68</v>
      </c>
      <c r="D80" s="10" t="s">
        <v>112</v>
      </c>
      <c r="E80" s="10" t="s">
        <v>211</v>
      </c>
      <c r="F80" s="10" t="s">
        <v>325</v>
      </c>
      <c r="G80" s="10" t="s">
        <v>208</v>
      </c>
      <c r="H80" s="10" t="s">
        <v>74</v>
      </c>
      <c r="I80" s="12">
        <v>70</v>
      </c>
      <c r="J80" s="16">
        <v>1295.8499999999999</v>
      </c>
      <c r="K80" s="16">
        <v>90709.5</v>
      </c>
      <c r="L80" s="31">
        <v>3.8029999999999999</v>
      </c>
      <c r="M80" s="16">
        <v>1295.8499999999999</v>
      </c>
      <c r="N80" s="10" t="s">
        <v>487</v>
      </c>
      <c r="O80" s="16">
        <v>1295.8499999999999</v>
      </c>
      <c r="P80" s="12"/>
      <c r="Q80" s="12">
        <v>70</v>
      </c>
      <c r="R80" s="10" t="s">
        <v>204</v>
      </c>
      <c r="S80" s="16">
        <v>0</v>
      </c>
      <c r="T80" s="9">
        <v>0</v>
      </c>
      <c r="U80" s="9">
        <v>0</v>
      </c>
      <c r="V80" s="10" t="s">
        <v>204</v>
      </c>
      <c r="W80" s="16">
        <v>0</v>
      </c>
      <c r="X80" s="9">
        <v>0</v>
      </c>
      <c r="Y80" s="9">
        <v>0</v>
      </c>
      <c r="Z80" s="10" t="s">
        <v>204</v>
      </c>
      <c r="AA80" s="16">
        <v>0</v>
      </c>
      <c r="AB80" s="9">
        <v>0</v>
      </c>
      <c r="AC80" s="9">
        <v>0</v>
      </c>
      <c r="AD80" s="10" t="s">
        <v>204</v>
      </c>
      <c r="AE80" s="16">
        <v>0</v>
      </c>
      <c r="AF80" s="9">
        <v>0</v>
      </c>
      <c r="AG80" s="9">
        <v>0</v>
      </c>
      <c r="AH80" s="10" t="s">
        <v>204</v>
      </c>
      <c r="AI80" s="16">
        <v>0</v>
      </c>
      <c r="AJ80" s="9">
        <v>0</v>
      </c>
      <c r="AK80" s="9">
        <v>0</v>
      </c>
      <c r="AL80" s="10" t="s">
        <v>204</v>
      </c>
      <c r="AM80" s="16">
        <v>0</v>
      </c>
      <c r="AN80" s="9">
        <v>0</v>
      </c>
      <c r="AO80" s="9">
        <v>0</v>
      </c>
      <c r="AP80" s="10" t="s">
        <v>204</v>
      </c>
      <c r="AQ80" s="16">
        <v>0</v>
      </c>
      <c r="AR80" s="9">
        <v>0</v>
      </c>
      <c r="AS80" s="9">
        <v>0</v>
      </c>
      <c r="AT80" s="10" t="s">
        <v>204</v>
      </c>
      <c r="AU80" s="16">
        <v>0</v>
      </c>
      <c r="AV80" s="9">
        <v>0</v>
      </c>
      <c r="AW80" s="9">
        <v>0</v>
      </c>
      <c r="AX80" s="10" t="s">
        <v>204</v>
      </c>
      <c r="AY80" s="16">
        <v>0</v>
      </c>
      <c r="AZ80" s="9">
        <v>0</v>
      </c>
      <c r="BA80" s="9">
        <v>0</v>
      </c>
      <c r="BB80" s="10" t="s">
        <v>72</v>
      </c>
      <c r="BC80" s="12">
        <v>1000439898</v>
      </c>
      <c r="BD80" s="10" t="s">
        <v>205</v>
      </c>
    </row>
    <row r="81" spans="1:56" s="1" customFormat="1" ht="18" customHeight="1" x14ac:dyDescent="0.2">
      <c r="A81" s="12">
        <v>80</v>
      </c>
      <c r="B81" s="10" t="s">
        <v>91</v>
      </c>
      <c r="C81" s="10" t="s">
        <v>68</v>
      </c>
      <c r="D81" s="10" t="s">
        <v>112</v>
      </c>
      <c r="E81" s="10" t="s">
        <v>211</v>
      </c>
      <c r="F81" s="10" t="s">
        <v>326</v>
      </c>
      <c r="G81" s="10" t="s">
        <v>208</v>
      </c>
      <c r="H81" s="10" t="s">
        <v>74</v>
      </c>
      <c r="I81" s="12">
        <v>62</v>
      </c>
      <c r="J81" s="16">
        <v>1295.8499999999999</v>
      </c>
      <c r="K81" s="16">
        <v>80342.7</v>
      </c>
      <c r="L81" s="31">
        <v>3.8029999999999999</v>
      </c>
      <c r="M81" s="16">
        <v>1295.8499999999999</v>
      </c>
      <c r="N81" s="10" t="s">
        <v>487</v>
      </c>
      <c r="O81" s="16">
        <v>1295.8499999999999</v>
      </c>
      <c r="P81" s="12"/>
      <c r="Q81" s="12">
        <v>62</v>
      </c>
      <c r="R81" s="10" t="s">
        <v>204</v>
      </c>
      <c r="S81" s="16">
        <v>0</v>
      </c>
      <c r="T81" s="9">
        <v>0</v>
      </c>
      <c r="U81" s="9">
        <v>0</v>
      </c>
      <c r="V81" s="10" t="s">
        <v>204</v>
      </c>
      <c r="W81" s="16">
        <v>0</v>
      </c>
      <c r="X81" s="9">
        <v>0</v>
      </c>
      <c r="Y81" s="9">
        <v>0</v>
      </c>
      <c r="Z81" s="10" t="s">
        <v>204</v>
      </c>
      <c r="AA81" s="16">
        <v>0</v>
      </c>
      <c r="AB81" s="9">
        <v>0</v>
      </c>
      <c r="AC81" s="9">
        <v>0</v>
      </c>
      <c r="AD81" s="10" t="s">
        <v>204</v>
      </c>
      <c r="AE81" s="16">
        <v>0</v>
      </c>
      <c r="AF81" s="9">
        <v>0</v>
      </c>
      <c r="AG81" s="9">
        <v>0</v>
      </c>
      <c r="AH81" s="10" t="s">
        <v>204</v>
      </c>
      <c r="AI81" s="16">
        <v>0</v>
      </c>
      <c r="AJ81" s="9">
        <v>0</v>
      </c>
      <c r="AK81" s="9">
        <v>0</v>
      </c>
      <c r="AL81" s="10" t="s">
        <v>204</v>
      </c>
      <c r="AM81" s="16">
        <v>0</v>
      </c>
      <c r="AN81" s="9">
        <v>0</v>
      </c>
      <c r="AO81" s="9">
        <v>0</v>
      </c>
      <c r="AP81" s="10" t="s">
        <v>204</v>
      </c>
      <c r="AQ81" s="16">
        <v>0</v>
      </c>
      <c r="AR81" s="9">
        <v>0</v>
      </c>
      <c r="AS81" s="9">
        <v>0</v>
      </c>
      <c r="AT81" s="10" t="s">
        <v>204</v>
      </c>
      <c r="AU81" s="16">
        <v>0</v>
      </c>
      <c r="AV81" s="9">
        <v>0</v>
      </c>
      <c r="AW81" s="9">
        <v>0</v>
      </c>
      <c r="AX81" s="10" t="s">
        <v>204</v>
      </c>
      <c r="AY81" s="16">
        <v>0</v>
      </c>
      <c r="AZ81" s="9">
        <v>0</v>
      </c>
      <c r="BA81" s="9">
        <v>0</v>
      </c>
      <c r="BB81" s="10" t="s">
        <v>72</v>
      </c>
      <c r="BC81" s="12">
        <v>1000439898</v>
      </c>
      <c r="BD81" s="10" t="s">
        <v>205</v>
      </c>
    </row>
    <row r="82" spans="1:56" s="1" customFormat="1" ht="18" customHeight="1" x14ac:dyDescent="0.2">
      <c r="A82" s="12">
        <v>81</v>
      </c>
      <c r="B82" s="10" t="s">
        <v>91</v>
      </c>
      <c r="C82" s="10" t="s">
        <v>68</v>
      </c>
      <c r="D82" s="10" t="s">
        <v>112</v>
      </c>
      <c r="E82" s="10" t="s">
        <v>211</v>
      </c>
      <c r="F82" s="10" t="s">
        <v>327</v>
      </c>
      <c r="G82" s="10" t="s">
        <v>208</v>
      </c>
      <c r="H82" s="10" t="s">
        <v>74</v>
      </c>
      <c r="I82" s="12">
        <v>65</v>
      </c>
      <c r="J82" s="16">
        <v>1295.8499999999999</v>
      </c>
      <c r="K82" s="16">
        <v>84230.25</v>
      </c>
      <c r="L82" s="31">
        <v>3.8029999999999999</v>
      </c>
      <c r="M82" s="16">
        <v>1295.8499999999999</v>
      </c>
      <c r="N82" s="10" t="s">
        <v>487</v>
      </c>
      <c r="O82" s="16">
        <v>1295.8499999999999</v>
      </c>
      <c r="P82" s="12"/>
      <c r="Q82" s="12">
        <v>65</v>
      </c>
      <c r="R82" s="10" t="s">
        <v>204</v>
      </c>
      <c r="S82" s="16">
        <v>0</v>
      </c>
      <c r="T82" s="9">
        <v>0</v>
      </c>
      <c r="U82" s="9">
        <v>0</v>
      </c>
      <c r="V82" s="10" t="s">
        <v>204</v>
      </c>
      <c r="W82" s="16">
        <v>0</v>
      </c>
      <c r="X82" s="9">
        <v>0</v>
      </c>
      <c r="Y82" s="9">
        <v>0</v>
      </c>
      <c r="Z82" s="10" t="s">
        <v>204</v>
      </c>
      <c r="AA82" s="16">
        <v>0</v>
      </c>
      <c r="AB82" s="9">
        <v>0</v>
      </c>
      <c r="AC82" s="9">
        <v>0</v>
      </c>
      <c r="AD82" s="10" t="s">
        <v>204</v>
      </c>
      <c r="AE82" s="16">
        <v>0</v>
      </c>
      <c r="AF82" s="9">
        <v>0</v>
      </c>
      <c r="AG82" s="9">
        <v>0</v>
      </c>
      <c r="AH82" s="10" t="s">
        <v>204</v>
      </c>
      <c r="AI82" s="16">
        <v>0</v>
      </c>
      <c r="AJ82" s="9">
        <v>0</v>
      </c>
      <c r="AK82" s="9">
        <v>0</v>
      </c>
      <c r="AL82" s="10" t="s">
        <v>204</v>
      </c>
      <c r="AM82" s="16">
        <v>0</v>
      </c>
      <c r="AN82" s="9">
        <v>0</v>
      </c>
      <c r="AO82" s="9">
        <v>0</v>
      </c>
      <c r="AP82" s="10" t="s">
        <v>204</v>
      </c>
      <c r="AQ82" s="16">
        <v>0</v>
      </c>
      <c r="AR82" s="9">
        <v>0</v>
      </c>
      <c r="AS82" s="9">
        <v>0</v>
      </c>
      <c r="AT82" s="10" t="s">
        <v>204</v>
      </c>
      <c r="AU82" s="16">
        <v>0</v>
      </c>
      <c r="AV82" s="9">
        <v>0</v>
      </c>
      <c r="AW82" s="9">
        <v>0</v>
      </c>
      <c r="AX82" s="10" t="s">
        <v>204</v>
      </c>
      <c r="AY82" s="16">
        <v>0</v>
      </c>
      <c r="AZ82" s="9">
        <v>0</v>
      </c>
      <c r="BA82" s="9">
        <v>0</v>
      </c>
      <c r="BB82" s="10" t="s">
        <v>72</v>
      </c>
      <c r="BC82" s="12">
        <v>1000439898</v>
      </c>
      <c r="BD82" s="10" t="s">
        <v>205</v>
      </c>
    </row>
    <row r="83" spans="1:56" s="1" customFormat="1" ht="18" customHeight="1" x14ac:dyDescent="0.2">
      <c r="A83" s="12">
        <v>82</v>
      </c>
      <c r="B83" s="10" t="s">
        <v>91</v>
      </c>
      <c r="C83" s="10" t="s">
        <v>68</v>
      </c>
      <c r="D83" s="10" t="s">
        <v>112</v>
      </c>
      <c r="E83" s="10" t="s">
        <v>211</v>
      </c>
      <c r="F83" s="10" t="s">
        <v>328</v>
      </c>
      <c r="G83" s="10" t="s">
        <v>208</v>
      </c>
      <c r="H83" s="10" t="s">
        <v>74</v>
      </c>
      <c r="I83" s="12">
        <v>65</v>
      </c>
      <c r="J83" s="16">
        <v>1295.8499999999999</v>
      </c>
      <c r="K83" s="16">
        <v>84230.25</v>
      </c>
      <c r="L83" s="31">
        <v>3.8029999999999999</v>
      </c>
      <c r="M83" s="16">
        <v>1295.8499999999999</v>
      </c>
      <c r="N83" s="10" t="s">
        <v>487</v>
      </c>
      <c r="O83" s="16">
        <v>1295.8499999999999</v>
      </c>
      <c r="P83" s="12"/>
      <c r="Q83" s="12">
        <v>65</v>
      </c>
      <c r="R83" s="10" t="s">
        <v>204</v>
      </c>
      <c r="S83" s="16">
        <v>0</v>
      </c>
      <c r="T83" s="9">
        <v>0</v>
      </c>
      <c r="U83" s="9">
        <v>0</v>
      </c>
      <c r="V83" s="10" t="s">
        <v>204</v>
      </c>
      <c r="W83" s="16">
        <v>0</v>
      </c>
      <c r="X83" s="9">
        <v>0</v>
      </c>
      <c r="Y83" s="9">
        <v>0</v>
      </c>
      <c r="Z83" s="10" t="s">
        <v>204</v>
      </c>
      <c r="AA83" s="16">
        <v>0</v>
      </c>
      <c r="AB83" s="9">
        <v>0</v>
      </c>
      <c r="AC83" s="9">
        <v>0</v>
      </c>
      <c r="AD83" s="10" t="s">
        <v>204</v>
      </c>
      <c r="AE83" s="16">
        <v>0</v>
      </c>
      <c r="AF83" s="9">
        <v>0</v>
      </c>
      <c r="AG83" s="9">
        <v>0</v>
      </c>
      <c r="AH83" s="10" t="s">
        <v>204</v>
      </c>
      <c r="AI83" s="16">
        <v>0</v>
      </c>
      <c r="AJ83" s="9">
        <v>0</v>
      </c>
      <c r="AK83" s="9">
        <v>0</v>
      </c>
      <c r="AL83" s="10" t="s">
        <v>204</v>
      </c>
      <c r="AM83" s="16">
        <v>0</v>
      </c>
      <c r="AN83" s="9">
        <v>0</v>
      </c>
      <c r="AO83" s="9">
        <v>0</v>
      </c>
      <c r="AP83" s="10" t="s">
        <v>204</v>
      </c>
      <c r="AQ83" s="16">
        <v>0</v>
      </c>
      <c r="AR83" s="9">
        <v>0</v>
      </c>
      <c r="AS83" s="9">
        <v>0</v>
      </c>
      <c r="AT83" s="10" t="s">
        <v>204</v>
      </c>
      <c r="AU83" s="16">
        <v>0</v>
      </c>
      <c r="AV83" s="9">
        <v>0</v>
      </c>
      <c r="AW83" s="9">
        <v>0</v>
      </c>
      <c r="AX83" s="10" t="s">
        <v>204</v>
      </c>
      <c r="AY83" s="16">
        <v>0</v>
      </c>
      <c r="AZ83" s="9">
        <v>0</v>
      </c>
      <c r="BA83" s="9">
        <v>0</v>
      </c>
      <c r="BB83" s="10" t="s">
        <v>72</v>
      </c>
      <c r="BC83" s="12">
        <v>1000439898</v>
      </c>
      <c r="BD83" s="10" t="s">
        <v>205</v>
      </c>
    </row>
    <row r="84" spans="1:56" s="1" customFormat="1" ht="18" customHeight="1" x14ac:dyDescent="0.2">
      <c r="A84" s="12">
        <v>83</v>
      </c>
      <c r="B84" s="10" t="s">
        <v>91</v>
      </c>
      <c r="C84" s="10" t="s">
        <v>68</v>
      </c>
      <c r="D84" s="10" t="s">
        <v>112</v>
      </c>
      <c r="E84" s="10" t="s">
        <v>211</v>
      </c>
      <c r="F84" s="10" t="s">
        <v>329</v>
      </c>
      <c r="G84" s="10" t="s">
        <v>208</v>
      </c>
      <c r="H84" s="10" t="s">
        <v>74</v>
      </c>
      <c r="I84" s="12">
        <v>20</v>
      </c>
      <c r="J84" s="16">
        <v>1295.8499999999999</v>
      </c>
      <c r="K84" s="16">
        <v>25917</v>
      </c>
      <c r="L84" s="31">
        <v>3.8029999999999999</v>
      </c>
      <c r="M84" s="16">
        <v>1295.8499999999999</v>
      </c>
      <c r="N84" s="10" t="s">
        <v>487</v>
      </c>
      <c r="O84" s="16">
        <v>1295.8499999999999</v>
      </c>
      <c r="P84" s="12"/>
      <c r="Q84" s="12">
        <v>20</v>
      </c>
      <c r="R84" s="10" t="s">
        <v>204</v>
      </c>
      <c r="S84" s="16">
        <v>0</v>
      </c>
      <c r="T84" s="9">
        <v>0</v>
      </c>
      <c r="U84" s="9">
        <v>0</v>
      </c>
      <c r="V84" s="10" t="s">
        <v>204</v>
      </c>
      <c r="W84" s="16">
        <v>0</v>
      </c>
      <c r="X84" s="9">
        <v>0</v>
      </c>
      <c r="Y84" s="9">
        <v>0</v>
      </c>
      <c r="Z84" s="10" t="s">
        <v>204</v>
      </c>
      <c r="AA84" s="16">
        <v>0</v>
      </c>
      <c r="AB84" s="9">
        <v>0</v>
      </c>
      <c r="AC84" s="9">
        <v>0</v>
      </c>
      <c r="AD84" s="10" t="s">
        <v>204</v>
      </c>
      <c r="AE84" s="16">
        <v>0</v>
      </c>
      <c r="AF84" s="9">
        <v>0</v>
      </c>
      <c r="AG84" s="9">
        <v>0</v>
      </c>
      <c r="AH84" s="10" t="s">
        <v>204</v>
      </c>
      <c r="AI84" s="16">
        <v>0</v>
      </c>
      <c r="AJ84" s="9">
        <v>0</v>
      </c>
      <c r="AK84" s="9">
        <v>0</v>
      </c>
      <c r="AL84" s="10" t="s">
        <v>204</v>
      </c>
      <c r="AM84" s="16">
        <v>0</v>
      </c>
      <c r="AN84" s="9">
        <v>0</v>
      </c>
      <c r="AO84" s="9">
        <v>0</v>
      </c>
      <c r="AP84" s="10" t="s">
        <v>204</v>
      </c>
      <c r="AQ84" s="16">
        <v>0</v>
      </c>
      <c r="AR84" s="9">
        <v>0</v>
      </c>
      <c r="AS84" s="9">
        <v>0</v>
      </c>
      <c r="AT84" s="10" t="s">
        <v>204</v>
      </c>
      <c r="AU84" s="16">
        <v>0</v>
      </c>
      <c r="AV84" s="9">
        <v>0</v>
      </c>
      <c r="AW84" s="9">
        <v>0</v>
      </c>
      <c r="AX84" s="10" t="s">
        <v>204</v>
      </c>
      <c r="AY84" s="16">
        <v>0</v>
      </c>
      <c r="AZ84" s="9">
        <v>0</v>
      </c>
      <c r="BA84" s="9">
        <v>0</v>
      </c>
      <c r="BB84" s="10" t="s">
        <v>72</v>
      </c>
      <c r="BC84" s="12">
        <v>1000439898</v>
      </c>
      <c r="BD84" s="10" t="s">
        <v>205</v>
      </c>
    </row>
    <row r="85" spans="1:56" s="1" customFormat="1" ht="18" customHeight="1" x14ac:dyDescent="0.2">
      <c r="A85" s="12">
        <v>84</v>
      </c>
      <c r="B85" s="10" t="s">
        <v>91</v>
      </c>
      <c r="C85" s="10" t="s">
        <v>68</v>
      </c>
      <c r="D85" s="10" t="s">
        <v>112</v>
      </c>
      <c r="E85" s="10" t="s">
        <v>318</v>
      </c>
      <c r="F85" s="10" t="s">
        <v>330</v>
      </c>
      <c r="G85" s="10" t="s">
        <v>210</v>
      </c>
      <c r="H85" s="10" t="s">
        <v>74</v>
      </c>
      <c r="I85" s="12">
        <v>40</v>
      </c>
      <c r="J85" s="16">
        <v>1295.8499999999999</v>
      </c>
      <c r="K85" s="16">
        <v>51834</v>
      </c>
      <c r="L85" s="31">
        <v>3.76</v>
      </c>
      <c r="M85" s="16">
        <v>1295.8499999999999</v>
      </c>
      <c r="N85" s="10" t="s">
        <v>204</v>
      </c>
      <c r="O85" s="16">
        <v>0</v>
      </c>
      <c r="P85" s="12">
        <v>0</v>
      </c>
      <c r="Q85" s="12">
        <v>0</v>
      </c>
      <c r="R85" s="10" t="s">
        <v>204</v>
      </c>
      <c r="S85" s="16">
        <v>0</v>
      </c>
      <c r="T85" s="9">
        <v>0</v>
      </c>
      <c r="U85" s="9">
        <v>0</v>
      </c>
      <c r="V85" s="10" t="s">
        <v>204</v>
      </c>
      <c r="W85" s="16">
        <v>0</v>
      </c>
      <c r="X85" s="9">
        <v>0</v>
      </c>
      <c r="Y85" s="9">
        <v>0</v>
      </c>
      <c r="Z85" s="10" t="s">
        <v>204</v>
      </c>
      <c r="AA85" s="16">
        <v>0</v>
      </c>
      <c r="AB85" s="9">
        <v>0</v>
      </c>
      <c r="AC85" s="9">
        <v>0</v>
      </c>
      <c r="AD85" s="10" t="s">
        <v>204</v>
      </c>
      <c r="AE85" s="16">
        <v>0</v>
      </c>
      <c r="AF85" s="9">
        <v>0</v>
      </c>
      <c r="AG85" s="9">
        <v>0</v>
      </c>
      <c r="AH85" s="10" t="s">
        <v>204</v>
      </c>
      <c r="AI85" s="16">
        <v>0</v>
      </c>
      <c r="AJ85" s="9">
        <v>0</v>
      </c>
      <c r="AK85" s="9">
        <v>0</v>
      </c>
      <c r="AL85" s="10" t="s">
        <v>204</v>
      </c>
      <c r="AM85" s="16">
        <v>0</v>
      </c>
      <c r="AN85" s="9">
        <v>0</v>
      </c>
      <c r="AO85" s="9">
        <v>0</v>
      </c>
      <c r="AP85" s="10" t="s">
        <v>204</v>
      </c>
      <c r="AQ85" s="16">
        <v>0</v>
      </c>
      <c r="AR85" s="9">
        <v>0</v>
      </c>
      <c r="AS85" s="9">
        <v>0</v>
      </c>
      <c r="AT85" s="10" t="s">
        <v>204</v>
      </c>
      <c r="AU85" s="16">
        <v>0</v>
      </c>
      <c r="AV85" s="9">
        <v>0</v>
      </c>
      <c r="AW85" s="9">
        <v>0</v>
      </c>
      <c r="AX85" s="10" t="s">
        <v>204</v>
      </c>
      <c r="AY85" s="16">
        <v>0</v>
      </c>
      <c r="AZ85" s="9">
        <v>0</v>
      </c>
      <c r="BA85" s="9">
        <v>0</v>
      </c>
      <c r="BB85" s="10" t="s">
        <v>72</v>
      </c>
      <c r="BC85" s="12">
        <v>1000438233</v>
      </c>
      <c r="BD85" s="10" t="s">
        <v>205</v>
      </c>
    </row>
    <row r="86" spans="1:56" s="1" customFormat="1" ht="18" customHeight="1" x14ac:dyDescent="0.2">
      <c r="A86" s="12">
        <v>85</v>
      </c>
      <c r="B86" s="10" t="s">
        <v>91</v>
      </c>
      <c r="C86" s="10" t="s">
        <v>68</v>
      </c>
      <c r="D86" s="10" t="s">
        <v>112</v>
      </c>
      <c r="E86" s="10" t="s">
        <v>331</v>
      </c>
      <c r="F86" s="10"/>
      <c r="G86" s="10" t="s">
        <v>332</v>
      </c>
      <c r="H86" s="10" t="s">
        <v>74</v>
      </c>
      <c r="I86" s="12">
        <v>10</v>
      </c>
      <c r="J86" s="16">
        <v>1524.66</v>
      </c>
      <c r="K86" s="16">
        <v>15246.6</v>
      </c>
      <c r="L86" s="31">
        <v>3.6949999999999998</v>
      </c>
      <c r="M86" s="16">
        <v>1524.66</v>
      </c>
      <c r="N86" s="10" t="s">
        <v>204</v>
      </c>
      <c r="O86" s="16">
        <v>0</v>
      </c>
      <c r="P86" s="12">
        <v>0</v>
      </c>
      <c r="Q86" s="12">
        <v>0</v>
      </c>
      <c r="R86" s="10" t="s">
        <v>204</v>
      </c>
      <c r="S86" s="16">
        <v>0</v>
      </c>
      <c r="T86" s="9">
        <v>0</v>
      </c>
      <c r="U86" s="9">
        <v>0</v>
      </c>
      <c r="V86" s="10" t="s">
        <v>204</v>
      </c>
      <c r="W86" s="16">
        <v>0</v>
      </c>
      <c r="X86" s="9">
        <v>0</v>
      </c>
      <c r="Y86" s="9">
        <v>0</v>
      </c>
      <c r="Z86" s="10" t="s">
        <v>204</v>
      </c>
      <c r="AA86" s="16">
        <v>0</v>
      </c>
      <c r="AB86" s="9">
        <v>0</v>
      </c>
      <c r="AC86" s="9">
        <v>0</v>
      </c>
      <c r="AD86" s="10" t="s">
        <v>204</v>
      </c>
      <c r="AE86" s="16">
        <v>0</v>
      </c>
      <c r="AF86" s="9">
        <v>0</v>
      </c>
      <c r="AG86" s="9">
        <v>0</v>
      </c>
      <c r="AH86" s="10" t="s">
        <v>204</v>
      </c>
      <c r="AI86" s="16">
        <v>0</v>
      </c>
      <c r="AJ86" s="9">
        <v>0</v>
      </c>
      <c r="AK86" s="9">
        <v>0</v>
      </c>
      <c r="AL86" s="10" t="s">
        <v>204</v>
      </c>
      <c r="AM86" s="16">
        <v>0</v>
      </c>
      <c r="AN86" s="9">
        <v>0</v>
      </c>
      <c r="AO86" s="9">
        <v>0</v>
      </c>
      <c r="AP86" s="10" t="s">
        <v>204</v>
      </c>
      <c r="AQ86" s="16">
        <v>0</v>
      </c>
      <c r="AR86" s="9">
        <v>0</v>
      </c>
      <c r="AS86" s="9">
        <v>0</v>
      </c>
      <c r="AT86" s="10" t="s">
        <v>204</v>
      </c>
      <c r="AU86" s="16">
        <v>0</v>
      </c>
      <c r="AV86" s="9">
        <v>0</v>
      </c>
      <c r="AW86" s="9">
        <v>0</v>
      </c>
      <c r="AX86" s="10" t="s">
        <v>204</v>
      </c>
      <c r="AY86" s="16">
        <v>0</v>
      </c>
      <c r="AZ86" s="9">
        <v>0</v>
      </c>
      <c r="BA86" s="9">
        <v>0</v>
      </c>
      <c r="BB86" s="10" t="s">
        <v>72</v>
      </c>
      <c r="BC86" s="12">
        <v>1000427780</v>
      </c>
      <c r="BD86" s="10" t="s">
        <v>205</v>
      </c>
    </row>
    <row r="87" spans="1:56" s="1" customFormat="1" ht="18" customHeight="1" x14ac:dyDescent="0.2">
      <c r="A87" s="12">
        <v>86</v>
      </c>
      <c r="B87" s="10" t="s">
        <v>91</v>
      </c>
      <c r="C87" s="10" t="s">
        <v>68</v>
      </c>
      <c r="D87" s="10" t="s">
        <v>104</v>
      </c>
      <c r="E87" s="10" t="s">
        <v>318</v>
      </c>
      <c r="F87" s="10" t="s">
        <v>333</v>
      </c>
      <c r="G87" s="10" t="s">
        <v>210</v>
      </c>
      <c r="H87" s="10" t="s">
        <v>74</v>
      </c>
      <c r="I87" s="12">
        <v>40</v>
      </c>
      <c r="J87" s="16">
        <v>1372.12</v>
      </c>
      <c r="K87" s="16">
        <v>54884.800000000003</v>
      </c>
      <c r="L87" s="31">
        <v>3.76</v>
      </c>
      <c r="M87" s="16">
        <v>1372.12</v>
      </c>
      <c r="N87" s="10" t="s">
        <v>488</v>
      </c>
      <c r="O87" s="16">
        <v>1372.12</v>
      </c>
      <c r="P87" s="12">
        <v>28</v>
      </c>
      <c r="Q87" s="12">
        <v>29</v>
      </c>
      <c r="R87" s="10" t="s">
        <v>204</v>
      </c>
      <c r="S87" s="16">
        <v>0</v>
      </c>
      <c r="T87" s="9">
        <v>0</v>
      </c>
      <c r="U87" s="9">
        <v>0</v>
      </c>
      <c r="V87" s="10" t="s">
        <v>204</v>
      </c>
      <c r="W87" s="16">
        <v>0</v>
      </c>
      <c r="X87" s="9">
        <v>0</v>
      </c>
      <c r="Y87" s="9">
        <v>0</v>
      </c>
      <c r="Z87" s="10" t="s">
        <v>204</v>
      </c>
      <c r="AA87" s="16">
        <v>0</v>
      </c>
      <c r="AB87" s="9">
        <v>0</v>
      </c>
      <c r="AC87" s="9">
        <v>0</v>
      </c>
      <c r="AD87" s="10" t="s">
        <v>204</v>
      </c>
      <c r="AE87" s="16">
        <v>0</v>
      </c>
      <c r="AF87" s="9">
        <v>0</v>
      </c>
      <c r="AG87" s="9">
        <v>0</v>
      </c>
      <c r="AH87" s="10" t="s">
        <v>204</v>
      </c>
      <c r="AI87" s="16">
        <v>0</v>
      </c>
      <c r="AJ87" s="9">
        <v>0</v>
      </c>
      <c r="AK87" s="9">
        <v>0</v>
      </c>
      <c r="AL87" s="10" t="s">
        <v>204</v>
      </c>
      <c r="AM87" s="16">
        <v>0</v>
      </c>
      <c r="AN87" s="9">
        <v>0</v>
      </c>
      <c r="AO87" s="9">
        <v>0</v>
      </c>
      <c r="AP87" s="10" t="s">
        <v>204</v>
      </c>
      <c r="AQ87" s="16">
        <v>0</v>
      </c>
      <c r="AR87" s="9">
        <v>0</v>
      </c>
      <c r="AS87" s="9">
        <v>0</v>
      </c>
      <c r="AT87" s="10" t="s">
        <v>204</v>
      </c>
      <c r="AU87" s="16">
        <v>0</v>
      </c>
      <c r="AV87" s="9">
        <v>0</v>
      </c>
      <c r="AW87" s="9">
        <v>0</v>
      </c>
      <c r="AX87" s="10" t="s">
        <v>204</v>
      </c>
      <c r="AY87" s="16">
        <v>0</v>
      </c>
      <c r="AZ87" s="9">
        <v>0</v>
      </c>
      <c r="BA87" s="9">
        <v>0</v>
      </c>
      <c r="BB87" s="10" t="s">
        <v>72</v>
      </c>
      <c r="BC87" s="12">
        <v>1000438233</v>
      </c>
      <c r="BD87" s="10" t="s">
        <v>205</v>
      </c>
    </row>
    <row r="88" spans="1:56" s="1" customFormat="1" ht="18" customHeight="1" x14ac:dyDescent="0.2">
      <c r="A88" s="12">
        <v>87</v>
      </c>
      <c r="B88" s="10" t="s">
        <v>91</v>
      </c>
      <c r="C88" s="10" t="s">
        <v>68</v>
      </c>
      <c r="D88" s="10" t="s">
        <v>104</v>
      </c>
      <c r="E88" s="10" t="s">
        <v>217</v>
      </c>
      <c r="F88" s="10"/>
      <c r="G88" s="10" t="s">
        <v>216</v>
      </c>
      <c r="H88" s="10" t="s">
        <v>74</v>
      </c>
      <c r="I88" s="12">
        <v>10</v>
      </c>
      <c r="J88" s="16">
        <v>1372.12</v>
      </c>
      <c r="K88" s="16">
        <v>13721.2</v>
      </c>
      <c r="L88" s="31">
        <v>3.806</v>
      </c>
      <c r="M88" s="16">
        <v>1372.12</v>
      </c>
      <c r="N88" s="10" t="s">
        <v>204</v>
      </c>
      <c r="O88" s="16">
        <v>0</v>
      </c>
      <c r="P88" s="12">
        <v>0</v>
      </c>
      <c r="Q88" s="12">
        <v>0</v>
      </c>
      <c r="R88" s="10" t="s">
        <v>204</v>
      </c>
      <c r="S88" s="16">
        <v>0</v>
      </c>
      <c r="T88" s="9">
        <v>0</v>
      </c>
      <c r="U88" s="9">
        <v>0</v>
      </c>
      <c r="V88" s="10" t="s">
        <v>204</v>
      </c>
      <c r="W88" s="16">
        <v>0</v>
      </c>
      <c r="X88" s="9">
        <v>0</v>
      </c>
      <c r="Y88" s="9">
        <v>0</v>
      </c>
      <c r="Z88" s="10" t="s">
        <v>204</v>
      </c>
      <c r="AA88" s="16">
        <v>0</v>
      </c>
      <c r="AB88" s="9">
        <v>0</v>
      </c>
      <c r="AC88" s="9">
        <v>0</v>
      </c>
      <c r="AD88" s="10" t="s">
        <v>204</v>
      </c>
      <c r="AE88" s="16">
        <v>0</v>
      </c>
      <c r="AF88" s="9">
        <v>0</v>
      </c>
      <c r="AG88" s="9">
        <v>0</v>
      </c>
      <c r="AH88" s="10" t="s">
        <v>204</v>
      </c>
      <c r="AI88" s="16">
        <v>0</v>
      </c>
      <c r="AJ88" s="9">
        <v>0</v>
      </c>
      <c r="AK88" s="9">
        <v>0</v>
      </c>
      <c r="AL88" s="10" t="s">
        <v>204</v>
      </c>
      <c r="AM88" s="16">
        <v>0</v>
      </c>
      <c r="AN88" s="9">
        <v>0</v>
      </c>
      <c r="AO88" s="9">
        <v>0</v>
      </c>
      <c r="AP88" s="10" t="s">
        <v>204</v>
      </c>
      <c r="AQ88" s="16">
        <v>0</v>
      </c>
      <c r="AR88" s="9">
        <v>0</v>
      </c>
      <c r="AS88" s="9">
        <v>0</v>
      </c>
      <c r="AT88" s="10" t="s">
        <v>204</v>
      </c>
      <c r="AU88" s="16">
        <v>0</v>
      </c>
      <c r="AV88" s="9">
        <v>0</v>
      </c>
      <c r="AW88" s="9">
        <v>0</v>
      </c>
      <c r="AX88" s="10" t="s">
        <v>204</v>
      </c>
      <c r="AY88" s="16">
        <v>0</v>
      </c>
      <c r="AZ88" s="9">
        <v>0</v>
      </c>
      <c r="BA88" s="9">
        <v>0</v>
      </c>
      <c r="BB88" s="10" t="s">
        <v>72</v>
      </c>
      <c r="BC88" s="12">
        <v>1000432887</v>
      </c>
      <c r="BD88" s="10" t="s">
        <v>205</v>
      </c>
    </row>
    <row r="89" spans="1:56" s="1" customFormat="1" ht="18" customHeight="1" x14ac:dyDescent="0.2">
      <c r="A89" s="12">
        <v>88</v>
      </c>
      <c r="B89" s="10" t="s">
        <v>91</v>
      </c>
      <c r="C89" s="10" t="s">
        <v>68</v>
      </c>
      <c r="D89" s="10" t="s">
        <v>104</v>
      </c>
      <c r="E89" s="10" t="s">
        <v>217</v>
      </c>
      <c r="F89" s="10"/>
      <c r="G89" s="10" t="s">
        <v>216</v>
      </c>
      <c r="H89" s="10" t="s">
        <v>74</v>
      </c>
      <c r="I89" s="12">
        <v>64</v>
      </c>
      <c r="J89" s="16">
        <v>1372.12</v>
      </c>
      <c r="K89" s="16">
        <v>87815.679999999993</v>
      </c>
      <c r="L89" s="31">
        <v>3.806</v>
      </c>
      <c r="M89" s="16">
        <v>1372.12</v>
      </c>
      <c r="N89" s="10" t="s">
        <v>204</v>
      </c>
      <c r="O89" s="16">
        <v>0</v>
      </c>
      <c r="P89" s="12">
        <v>0</v>
      </c>
      <c r="Q89" s="12">
        <v>0</v>
      </c>
      <c r="R89" s="10" t="s">
        <v>204</v>
      </c>
      <c r="S89" s="16">
        <v>0</v>
      </c>
      <c r="T89" s="9">
        <v>0</v>
      </c>
      <c r="U89" s="9">
        <v>0</v>
      </c>
      <c r="V89" s="10" t="s">
        <v>204</v>
      </c>
      <c r="W89" s="16">
        <v>0</v>
      </c>
      <c r="X89" s="9">
        <v>0</v>
      </c>
      <c r="Y89" s="9">
        <v>0</v>
      </c>
      <c r="Z89" s="10" t="s">
        <v>204</v>
      </c>
      <c r="AA89" s="16">
        <v>0</v>
      </c>
      <c r="AB89" s="9">
        <v>0</v>
      </c>
      <c r="AC89" s="9">
        <v>0</v>
      </c>
      <c r="AD89" s="10" t="s">
        <v>204</v>
      </c>
      <c r="AE89" s="16">
        <v>0</v>
      </c>
      <c r="AF89" s="9">
        <v>0</v>
      </c>
      <c r="AG89" s="9">
        <v>0</v>
      </c>
      <c r="AH89" s="10" t="s">
        <v>204</v>
      </c>
      <c r="AI89" s="16">
        <v>0</v>
      </c>
      <c r="AJ89" s="9">
        <v>0</v>
      </c>
      <c r="AK89" s="9">
        <v>0</v>
      </c>
      <c r="AL89" s="10" t="s">
        <v>204</v>
      </c>
      <c r="AM89" s="16">
        <v>0</v>
      </c>
      <c r="AN89" s="9">
        <v>0</v>
      </c>
      <c r="AO89" s="9">
        <v>0</v>
      </c>
      <c r="AP89" s="10" t="s">
        <v>204</v>
      </c>
      <c r="AQ89" s="16">
        <v>0</v>
      </c>
      <c r="AR89" s="9">
        <v>0</v>
      </c>
      <c r="AS89" s="9">
        <v>0</v>
      </c>
      <c r="AT89" s="10" t="s">
        <v>204</v>
      </c>
      <c r="AU89" s="16">
        <v>0</v>
      </c>
      <c r="AV89" s="9">
        <v>0</v>
      </c>
      <c r="AW89" s="9">
        <v>0</v>
      </c>
      <c r="AX89" s="10" t="s">
        <v>204</v>
      </c>
      <c r="AY89" s="16">
        <v>0</v>
      </c>
      <c r="AZ89" s="9">
        <v>0</v>
      </c>
      <c r="BA89" s="9">
        <v>0</v>
      </c>
      <c r="BB89" s="10" t="s">
        <v>72</v>
      </c>
      <c r="BC89" s="12">
        <v>1000432887</v>
      </c>
      <c r="BD89" s="10" t="s">
        <v>205</v>
      </c>
    </row>
    <row r="90" spans="1:56" s="1" customFormat="1" ht="18" customHeight="1" x14ac:dyDescent="0.2">
      <c r="A90" s="12">
        <v>89</v>
      </c>
      <c r="B90" s="10" t="s">
        <v>91</v>
      </c>
      <c r="C90" s="10" t="s">
        <v>68</v>
      </c>
      <c r="D90" s="10" t="s">
        <v>104</v>
      </c>
      <c r="E90" s="10" t="s">
        <v>217</v>
      </c>
      <c r="F90" s="10"/>
      <c r="G90" s="10" t="s">
        <v>216</v>
      </c>
      <c r="H90" s="10" t="s">
        <v>74</v>
      </c>
      <c r="I90" s="12">
        <v>65</v>
      </c>
      <c r="J90" s="16">
        <v>1372.12</v>
      </c>
      <c r="K90" s="16">
        <v>89187.8</v>
      </c>
      <c r="L90" s="31">
        <v>3.806</v>
      </c>
      <c r="M90" s="16">
        <v>1372.12</v>
      </c>
      <c r="N90" s="10" t="s">
        <v>204</v>
      </c>
      <c r="O90" s="16">
        <v>0</v>
      </c>
      <c r="P90" s="12">
        <v>0</v>
      </c>
      <c r="Q90" s="12">
        <v>0</v>
      </c>
      <c r="R90" s="10" t="s">
        <v>204</v>
      </c>
      <c r="S90" s="16">
        <v>0</v>
      </c>
      <c r="T90" s="9">
        <v>0</v>
      </c>
      <c r="U90" s="9">
        <v>0</v>
      </c>
      <c r="V90" s="10" t="s">
        <v>204</v>
      </c>
      <c r="W90" s="16">
        <v>0</v>
      </c>
      <c r="X90" s="9">
        <v>0</v>
      </c>
      <c r="Y90" s="9">
        <v>0</v>
      </c>
      <c r="Z90" s="10" t="s">
        <v>204</v>
      </c>
      <c r="AA90" s="16">
        <v>0</v>
      </c>
      <c r="AB90" s="9">
        <v>0</v>
      </c>
      <c r="AC90" s="9">
        <v>0</v>
      </c>
      <c r="AD90" s="10" t="s">
        <v>204</v>
      </c>
      <c r="AE90" s="16">
        <v>0</v>
      </c>
      <c r="AF90" s="9">
        <v>0</v>
      </c>
      <c r="AG90" s="9">
        <v>0</v>
      </c>
      <c r="AH90" s="10" t="s">
        <v>204</v>
      </c>
      <c r="AI90" s="16">
        <v>0</v>
      </c>
      <c r="AJ90" s="9">
        <v>0</v>
      </c>
      <c r="AK90" s="9">
        <v>0</v>
      </c>
      <c r="AL90" s="10" t="s">
        <v>204</v>
      </c>
      <c r="AM90" s="16">
        <v>0</v>
      </c>
      <c r="AN90" s="9">
        <v>0</v>
      </c>
      <c r="AO90" s="9">
        <v>0</v>
      </c>
      <c r="AP90" s="10" t="s">
        <v>204</v>
      </c>
      <c r="AQ90" s="16">
        <v>0</v>
      </c>
      <c r="AR90" s="9">
        <v>0</v>
      </c>
      <c r="AS90" s="9">
        <v>0</v>
      </c>
      <c r="AT90" s="10" t="s">
        <v>204</v>
      </c>
      <c r="AU90" s="16">
        <v>0</v>
      </c>
      <c r="AV90" s="9">
        <v>0</v>
      </c>
      <c r="AW90" s="9">
        <v>0</v>
      </c>
      <c r="AX90" s="10" t="s">
        <v>204</v>
      </c>
      <c r="AY90" s="16">
        <v>0</v>
      </c>
      <c r="AZ90" s="9">
        <v>0</v>
      </c>
      <c r="BA90" s="9">
        <v>0</v>
      </c>
      <c r="BB90" s="10" t="s">
        <v>72</v>
      </c>
      <c r="BC90" s="12">
        <v>1000432887</v>
      </c>
      <c r="BD90" s="10" t="s">
        <v>205</v>
      </c>
    </row>
    <row r="91" spans="1:56" s="1" customFormat="1" ht="18" customHeight="1" x14ac:dyDescent="0.2">
      <c r="A91" s="12">
        <v>90</v>
      </c>
      <c r="B91" s="10" t="s">
        <v>91</v>
      </c>
      <c r="C91" s="10" t="s">
        <v>68</v>
      </c>
      <c r="D91" s="10" t="s">
        <v>104</v>
      </c>
      <c r="E91" s="10" t="s">
        <v>217</v>
      </c>
      <c r="F91" s="10"/>
      <c r="G91" s="10" t="s">
        <v>216</v>
      </c>
      <c r="H91" s="10" t="s">
        <v>74</v>
      </c>
      <c r="I91" s="12">
        <v>65</v>
      </c>
      <c r="J91" s="16">
        <v>1372.12</v>
      </c>
      <c r="K91" s="16">
        <v>89187.8</v>
      </c>
      <c r="L91" s="31">
        <v>3.806</v>
      </c>
      <c r="M91" s="16">
        <v>1372.12</v>
      </c>
      <c r="N91" s="10" t="s">
        <v>204</v>
      </c>
      <c r="O91" s="16">
        <v>0</v>
      </c>
      <c r="P91" s="12">
        <v>0</v>
      </c>
      <c r="Q91" s="12">
        <v>0</v>
      </c>
      <c r="R91" s="10" t="s">
        <v>204</v>
      </c>
      <c r="S91" s="16">
        <v>0</v>
      </c>
      <c r="T91" s="9">
        <v>0</v>
      </c>
      <c r="U91" s="9">
        <v>0</v>
      </c>
      <c r="V91" s="10" t="s">
        <v>204</v>
      </c>
      <c r="W91" s="16">
        <v>0</v>
      </c>
      <c r="X91" s="9">
        <v>0</v>
      </c>
      <c r="Y91" s="9">
        <v>0</v>
      </c>
      <c r="Z91" s="10" t="s">
        <v>204</v>
      </c>
      <c r="AA91" s="16">
        <v>0</v>
      </c>
      <c r="AB91" s="9">
        <v>0</v>
      </c>
      <c r="AC91" s="9">
        <v>0</v>
      </c>
      <c r="AD91" s="10" t="s">
        <v>204</v>
      </c>
      <c r="AE91" s="16">
        <v>0</v>
      </c>
      <c r="AF91" s="9">
        <v>0</v>
      </c>
      <c r="AG91" s="9">
        <v>0</v>
      </c>
      <c r="AH91" s="10" t="s">
        <v>204</v>
      </c>
      <c r="AI91" s="16">
        <v>0</v>
      </c>
      <c r="AJ91" s="9">
        <v>0</v>
      </c>
      <c r="AK91" s="9">
        <v>0</v>
      </c>
      <c r="AL91" s="10" t="s">
        <v>204</v>
      </c>
      <c r="AM91" s="16">
        <v>0</v>
      </c>
      <c r="AN91" s="9">
        <v>0</v>
      </c>
      <c r="AO91" s="9">
        <v>0</v>
      </c>
      <c r="AP91" s="10" t="s">
        <v>204</v>
      </c>
      <c r="AQ91" s="16">
        <v>0</v>
      </c>
      <c r="AR91" s="9">
        <v>0</v>
      </c>
      <c r="AS91" s="9">
        <v>0</v>
      </c>
      <c r="AT91" s="10" t="s">
        <v>204</v>
      </c>
      <c r="AU91" s="16">
        <v>0</v>
      </c>
      <c r="AV91" s="9">
        <v>0</v>
      </c>
      <c r="AW91" s="9">
        <v>0</v>
      </c>
      <c r="AX91" s="10" t="s">
        <v>204</v>
      </c>
      <c r="AY91" s="16">
        <v>0</v>
      </c>
      <c r="AZ91" s="9">
        <v>0</v>
      </c>
      <c r="BA91" s="9">
        <v>0</v>
      </c>
      <c r="BB91" s="10" t="s">
        <v>72</v>
      </c>
      <c r="BC91" s="12">
        <v>1000432887</v>
      </c>
      <c r="BD91" s="10" t="s">
        <v>205</v>
      </c>
    </row>
    <row r="92" spans="1:56" s="1" customFormat="1" ht="18" customHeight="1" x14ac:dyDescent="0.2">
      <c r="A92" s="12">
        <v>91</v>
      </c>
      <c r="B92" s="10" t="s">
        <v>91</v>
      </c>
      <c r="C92" s="10" t="s">
        <v>68</v>
      </c>
      <c r="D92" s="10" t="s">
        <v>104</v>
      </c>
      <c r="E92" s="10" t="s">
        <v>334</v>
      </c>
      <c r="F92" s="10"/>
      <c r="G92" s="10" t="s">
        <v>222</v>
      </c>
      <c r="H92" s="10" t="s">
        <v>74</v>
      </c>
      <c r="I92" s="12">
        <v>3</v>
      </c>
      <c r="J92" s="16">
        <v>1410.25</v>
      </c>
      <c r="K92" s="16">
        <v>4230.75</v>
      </c>
      <c r="L92" s="31">
        <v>3.7890000000000001</v>
      </c>
      <c r="M92" s="16">
        <v>1410.25</v>
      </c>
      <c r="N92" s="10" t="s">
        <v>204</v>
      </c>
      <c r="O92" s="16">
        <v>0</v>
      </c>
      <c r="P92" s="12">
        <v>0</v>
      </c>
      <c r="Q92" s="12">
        <v>0</v>
      </c>
      <c r="R92" s="10" t="s">
        <v>204</v>
      </c>
      <c r="S92" s="16">
        <v>0</v>
      </c>
      <c r="T92" s="9">
        <v>0</v>
      </c>
      <c r="U92" s="9">
        <v>0</v>
      </c>
      <c r="V92" s="10" t="s">
        <v>204</v>
      </c>
      <c r="W92" s="16">
        <v>0</v>
      </c>
      <c r="X92" s="9">
        <v>0</v>
      </c>
      <c r="Y92" s="9">
        <v>0</v>
      </c>
      <c r="Z92" s="10" t="s">
        <v>204</v>
      </c>
      <c r="AA92" s="16">
        <v>0</v>
      </c>
      <c r="AB92" s="9">
        <v>0</v>
      </c>
      <c r="AC92" s="9">
        <v>0</v>
      </c>
      <c r="AD92" s="10" t="s">
        <v>204</v>
      </c>
      <c r="AE92" s="16">
        <v>0</v>
      </c>
      <c r="AF92" s="9">
        <v>0</v>
      </c>
      <c r="AG92" s="9">
        <v>0</v>
      </c>
      <c r="AH92" s="10" t="s">
        <v>204</v>
      </c>
      <c r="AI92" s="16">
        <v>0</v>
      </c>
      <c r="AJ92" s="9">
        <v>0</v>
      </c>
      <c r="AK92" s="9">
        <v>0</v>
      </c>
      <c r="AL92" s="10" t="s">
        <v>204</v>
      </c>
      <c r="AM92" s="16">
        <v>0</v>
      </c>
      <c r="AN92" s="9">
        <v>0</v>
      </c>
      <c r="AO92" s="9">
        <v>0</v>
      </c>
      <c r="AP92" s="10" t="s">
        <v>204</v>
      </c>
      <c r="AQ92" s="16">
        <v>0</v>
      </c>
      <c r="AR92" s="9">
        <v>0</v>
      </c>
      <c r="AS92" s="9">
        <v>0</v>
      </c>
      <c r="AT92" s="10" t="s">
        <v>204</v>
      </c>
      <c r="AU92" s="16">
        <v>0</v>
      </c>
      <c r="AV92" s="9">
        <v>0</v>
      </c>
      <c r="AW92" s="9">
        <v>0</v>
      </c>
      <c r="AX92" s="10" t="s">
        <v>204</v>
      </c>
      <c r="AY92" s="16">
        <v>0</v>
      </c>
      <c r="AZ92" s="9">
        <v>0</v>
      </c>
      <c r="BA92" s="9">
        <v>0</v>
      </c>
      <c r="BB92" s="10" t="s">
        <v>72</v>
      </c>
      <c r="BC92" s="12">
        <v>1000422908</v>
      </c>
      <c r="BD92" s="10" t="s">
        <v>205</v>
      </c>
    </row>
    <row r="93" spans="1:56" s="1" customFormat="1" ht="18" customHeight="1" x14ac:dyDescent="0.2">
      <c r="A93" s="12">
        <v>92</v>
      </c>
      <c r="B93" s="10" t="s">
        <v>91</v>
      </c>
      <c r="C93" s="10" t="s">
        <v>68</v>
      </c>
      <c r="D93" s="10" t="s">
        <v>104</v>
      </c>
      <c r="E93" s="10" t="s">
        <v>335</v>
      </c>
      <c r="F93" s="10"/>
      <c r="G93" s="10" t="s">
        <v>222</v>
      </c>
      <c r="H93" s="10" t="s">
        <v>74</v>
      </c>
      <c r="I93" s="12">
        <v>4</v>
      </c>
      <c r="J93" s="16">
        <v>1410.25</v>
      </c>
      <c r="K93" s="16">
        <v>5641</v>
      </c>
      <c r="L93" s="31">
        <v>3.7879999999999998</v>
      </c>
      <c r="M93" s="16">
        <v>1410.25</v>
      </c>
      <c r="N93" s="10" t="s">
        <v>204</v>
      </c>
      <c r="O93" s="16">
        <v>0</v>
      </c>
      <c r="P93" s="12">
        <v>0</v>
      </c>
      <c r="Q93" s="12">
        <v>0</v>
      </c>
      <c r="R93" s="10" t="s">
        <v>204</v>
      </c>
      <c r="S93" s="16">
        <v>0</v>
      </c>
      <c r="T93" s="9">
        <v>0</v>
      </c>
      <c r="U93" s="9">
        <v>0</v>
      </c>
      <c r="V93" s="10" t="s">
        <v>204</v>
      </c>
      <c r="W93" s="16">
        <v>0</v>
      </c>
      <c r="X93" s="9">
        <v>0</v>
      </c>
      <c r="Y93" s="9">
        <v>0</v>
      </c>
      <c r="Z93" s="10" t="s">
        <v>204</v>
      </c>
      <c r="AA93" s="16">
        <v>0</v>
      </c>
      <c r="AB93" s="9">
        <v>0</v>
      </c>
      <c r="AC93" s="9">
        <v>0</v>
      </c>
      <c r="AD93" s="10" t="s">
        <v>204</v>
      </c>
      <c r="AE93" s="16">
        <v>0</v>
      </c>
      <c r="AF93" s="9">
        <v>0</v>
      </c>
      <c r="AG93" s="9">
        <v>0</v>
      </c>
      <c r="AH93" s="10" t="s">
        <v>204</v>
      </c>
      <c r="AI93" s="16">
        <v>0</v>
      </c>
      <c r="AJ93" s="9">
        <v>0</v>
      </c>
      <c r="AK93" s="9">
        <v>0</v>
      </c>
      <c r="AL93" s="10" t="s">
        <v>204</v>
      </c>
      <c r="AM93" s="16">
        <v>0</v>
      </c>
      <c r="AN93" s="9">
        <v>0</v>
      </c>
      <c r="AO93" s="9">
        <v>0</v>
      </c>
      <c r="AP93" s="10" t="s">
        <v>204</v>
      </c>
      <c r="AQ93" s="16">
        <v>0</v>
      </c>
      <c r="AR93" s="9">
        <v>0</v>
      </c>
      <c r="AS93" s="9">
        <v>0</v>
      </c>
      <c r="AT93" s="10" t="s">
        <v>204</v>
      </c>
      <c r="AU93" s="16">
        <v>0</v>
      </c>
      <c r="AV93" s="9">
        <v>0</v>
      </c>
      <c r="AW93" s="9">
        <v>0</v>
      </c>
      <c r="AX93" s="10" t="s">
        <v>204</v>
      </c>
      <c r="AY93" s="16">
        <v>0</v>
      </c>
      <c r="AZ93" s="9">
        <v>0</v>
      </c>
      <c r="BA93" s="9">
        <v>0</v>
      </c>
      <c r="BB93" s="10" t="s">
        <v>72</v>
      </c>
      <c r="BC93" s="12">
        <v>1000422908</v>
      </c>
      <c r="BD93" s="10" t="s">
        <v>205</v>
      </c>
    </row>
    <row r="94" spans="1:56" s="1" customFormat="1" ht="18" customHeight="1" x14ac:dyDescent="0.2">
      <c r="A94" s="12">
        <v>93</v>
      </c>
      <c r="B94" s="10" t="s">
        <v>91</v>
      </c>
      <c r="C94" s="10" t="s">
        <v>68</v>
      </c>
      <c r="D94" s="10" t="s">
        <v>104</v>
      </c>
      <c r="E94" s="10" t="s">
        <v>258</v>
      </c>
      <c r="F94" s="10" t="s">
        <v>336</v>
      </c>
      <c r="G94" s="10" t="s">
        <v>222</v>
      </c>
      <c r="H94" s="10" t="s">
        <v>74</v>
      </c>
      <c r="I94" s="12">
        <v>30</v>
      </c>
      <c r="J94" s="16">
        <v>1410.25</v>
      </c>
      <c r="K94" s="16">
        <v>42307.5</v>
      </c>
      <c r="L94" s="31">
        <v>3.8159999999999998</v>
      </c>
      <c r="M94" s="16">
        <v>1410.25</v>
      </c>
      <c r="N94" s="10" t="s">
        <v>204</v>
      </c>
      <c r="O94" s="16">
        <v>0</v>
      </c>
      <c r="P94" s="12">
        <v>0</v>
      </c>
      <c r="Q94" s="12">
        <v>0</v>
      </c>
      <c r="R94" s="10" t="s">
        <v>204</v>
      </c>
      <c r="S94" s="16">
        <v>0</v>
      </c>
      <c r="T94" s="9">
        <v>0</v>
      </c>
      <c r="U94" s="9">
        <v>0</v>
      </c>
      <c r="V94" s="10" t="s">
        <v>204</v>
      </c>
      <c r="W94" s="16">
        <v>0</v>
      </c>
      <c r="X94" s="9">
        <v>0</v>
      </c>
      <c r="Y94" s="9">
        <v>0</v>
      </c>
      <c r="Z94" s="10" t="s">
        <v>204</v>
      </c>
      <c r="AA94" s="16">
        <v>0</v>
      </c>
      <c r="AB94" s="9">
        <v>0</v>
      </c>
      <c r="AC94" s="9">
        <v>0</v>
      </c>
      <c r="AD94" s="10" t="s">
        <v>204</v>
      </c>
      <c r="AE94" s="16">
        <v>0</v>
      </c>
      <c r="AF94" s="9">
        <v>0</v>
      </c>
      <c r="AG94" s="9">
        <v>0</v>
      </c>
      <c r="AH94" s="10" t="s">
        <v>204</v>
      </c>
      <c r="AI94" s="16">
        <v>0</v>
      </c>
      <c r="AJ94" s="9">
        <v>0</v>
      </c>
      <c r="AK94" s="9">
        <v>0</v>
      </c>
      <c r="AL94" s="10" t="s">
        <v>204</v>
      </c>
      <c r="AM94" s="16">
        <v>0</v>
      </c>
      <c r="AN94" s="9">
        <v>0</v>
      </c>
      <c r="AO94" s="9">
        <v>0</v>
      </c>
      <c r="AP94" s="10" t="s">
        <v>204</v>
      </c>
      <c r="AQ94" s="16">
        <v>0</v>
      </c>
      <c r="AR94" s="9">
        <v>0</v>
      </c>
      <c r="AS94" s="9">
        <v>0</v>
      </c>
      <c r="AT94" s="10" t="s">
        <v>204</v>
      </c>
      <c r="AU94" s="16">
        <v>0</v>
      </c>
      <c r="AV94" s="9">
        <v>0</v>
      </c>
      <c r="AW94" s="9">
        <v>0</v>
      </c>
      <c r="AX94" s="10" t="s">
        <v>204</v>
      </c>
      <c r="AY94" s="16">
        <v>0</v>
      </c>
      <c r="AZ94" s="9">
        <v>0</v>
      </c>
      <c r="BA94" s="9">
        <v>0</v>
      </c>
      <c r="BB94" s="10" t="s">
        <v>72</v>
      </c>
      <c r="BC94" s="12">
        <v>1000422908</v>
      </c>
      <c r="BD94" s="10" t="s">
        <v>205</v>
      </c>
    </row>
    <row r="95" spans="1:56" s="1" customFormat="1" ht="18" customHeight="1" x14ac:dyDescent="0.2">
      <c r="A95" s="12">
        <v>94</v>
      </c>
      <c r="B95" s="10" t="s">
        <v>91</v>
      </c>
      <c r="C95" s="10" t="s">
        <v>68</v>
      </c>
      <c r="D95" s="10" t="s">
        <v>104</v>
      </c>
      <c r="E95" s="10" t="s">
        <v>258</v>
      </c>
      <c r="F95" s="10" t="s">
        <v>336</v>
      </c>
      <c r="G95" s="10" t="s">
        <v>222</v>
      </c>
      <c r="H95" s="10" t="s">
        <v>74</v>
      </c>
      <c r="I95" s="12">
        <v>13</v>
      </c>
      <c r="J95" s="16">
        <v>1410.25</v>
      </c>
      <c r="K95" s="16">
        <v>18333.25</v>
      </c>
      <c r="L95" s="31">
        <v>3.8159999999999998</v>
      </c>
      <c r="M95" s="16">
        <v>1410.25</v>
      </c>
      <c r="N95" s="10" t="s">
        <v>204</v>
      </c>
      <c r="O95" s="16">
        <v>0</v>
      </c>
      <c r="P95" s="12">
        <v>0</v>
      </c>
      <c r="Q95" s="12">
        <v>0</v>
      </c>
      <c r="R95" s="10" t="s">
        <v>204</v>
      </c>
      <c r="S95" s="16">
        <v>0</v>
      </c>
      <c r="T95" s="9">
        <v>0</v>
      </c>
      <c r="U95" s="9">
        <v>0</v>
      </c>
      <c r="V95" s="10" t="s">
        <v>204</v>
      </c>
      <c r="W95" s="16">
        <v>0</v>
      </c>
      <c r="X95" s="9">
        <v>0</v>
      </c>
      <c r="Y95" s="9">
        <v>0</v>
      </c>
      <c r="Z95" s="10" t="s">
        <v>204</v>
      </c>
      <c r="AA95" s="16">
        <v>0</v>
      </c>
      <c r="AB95" s="9">
        <v>0</v>
      </c>
      <c r="AC95" s="9">
        <v>0</v>
      </c>
      <c r="AD95" s="10" t="s">
        <v>204</v>
      </c>
      <c r="AE95" s="16">
        <v>0</v>
      </c>
      <c r="AF95" s="9">
        <v>0</v>
      </c>
      <c r="AG95" s="9">
        <v>0</v>
      </c>
      <c r="AH95" s="10" t="s">
        <v>204</v>
      </c>
      <c r="AI95" s="16">
        <v>0</v>
      </c>
      <c r="AJ95" s="9">
        <v>0</v>
      </c>
      <c r="AK95" s="9">
        <v>0</v>
      </c>
      <c r="AL95" s="10" t="s">
        <v>204</v>
      </c>
      <c r="AM95" s="16">
        <v>0</v>
      </c>
      <c r="AN95" s="9">
        <v>0</v>
      </c>
      <c r="AO95" s="9">
        <v>0</v>
      </c>
      <c r="AP95" s="10" t="s">
        <v>204</v>
      </c>
      <c r="AQ95" s="16">
        <v>0</v>
      </c>
      <c r="AR95" s="9">
        <v>0</v>
      </c>
      <c r="AS95" s="9">
        <v>0</v>
      </c>
      <c r="AT95" s="10" t="s">
        <v>204</v>
      </c>
      <c r="AU95" s="16">
        <v>0</v>
      </c>
      <c r="AV95" s="9">
        <v>0</v>
      </c>
      <c r="AW95" s="9">
        <v>0</v>
      </c>
      <c r="AX95" s="10" t="s">
        <v>204</v>
      </c>
      <c r="AY95" s="16">
        <v>0</v>
      </c>
      <c r="AZ95" s="9">
        <v>0</v>
      </c>
      <c r="BA95" s="9">
        <v>0</v>
      </c>
      <c r="BB95" s="10" t="s">
        <v>72</v>
      </c>
      <c r="BC95" s="12">
        <v>1000422908</v>
      </c>
      <c r="BD95" s="10" t="s">
        <v>205</v>
      </c>
    </row>
    <row r="96" spans="1:56" s="1" customFormat="1" ht="18" customHeight="1" x14ac:dyDescent="0.2">
      <c r="A96" s="12">
        <v>95</v>
      </c>
      <c r="B96" s="10" t="s">
        <v>91</v>
      </c>
      <c r="C96" s="10" t="s">
        <v>68</v>
      </c>
      <c r="D96" s="10" t="s">
        <v>104</v>
      </c>
      <c r="E96" s="10" t="s">
        <v>337</v>
      </c>
      <c r="F96" s="10" t="s">
        <v>338</v>
      </c>
      <c r="G96" s="10" t="s">
        <v>260</v>
      </c>
      <c r="H96" s="10" t="s">
        <v>74</v>
      </c>
      <c r="I96" s="12">
        <v>19</v>
      </c>
      <c r="J96" s="16">
        <v>1410.25</v>
      </c>
      <c r="K96" s="16">
        <v>26794.75</v>
      </c>
      <c r="L96" s="31">
        <v>3.82</v>
      </c>
      <c r="M96" s="16">
        <v>1410.25</v>
      </c>
      <c r="N96" s="10" t="s">
        <v>204</v>
      </c>
      <c r="O96" s="16">
        <v>0</v>
      </c>
      <c r="P96" s="12">
        <v>0</v>
      </c>
      <c r="Q96" s="12">
        <v>0</v>
      </c>
      <c r="R96" s="10" t="s">
        <v>204</v>
      </c>
      <c r="S96" s="16">
        <v>0</v>
      </c>
      <c r="T96" s="9">
        <v>0</v>
      </c>
      <c r="U96" s="9">
        <v>0</v>
      </c>
      <c r="V96" s="10" t="s">
        <v>204</v>
      </c>
      <c r="W96" s="16">
        <v>0</v>
      </c>
      <c r="X96" s="9">
        <v>0</v>
      </c>
      <c r="Y96" s="9">
        <v>0</v>
      </c>
      <c r="Z96" s="10" t="s">
        <v>204</v>
      </c>
      <c r="AA96" s="16">
        <v>0</v>
      </c>
      <c r="AB96" s="9">
        <v>0</v>
      </c>
      <c r="AC96" s="9">
        <v>0</v>
      </c>
      <c r="AD96" s="10" t="s">
        <v>204</v>
      </c>
      <c r="AE96" s="16">
        <v>0</v>
      </c>
      <c r="AF96" s="9">
        <v>0</v>
      </c>
      <c r="AG96" s="9">
        <v>0</v>
      </c>
      <c r="AH96" s="10" t="s">
        <v>204</v>
      </c>
      <c r="AI96" s="16">
        <v>0</v>
      </c>
      <c r="AJ96" s="9">
        <v>0</v>
      </c>
      <c r="AK96" s="9">
        <v>0</v>
      </c>
      <c r="AL96" s="10" t="s">
        <v>204</v>
      </c>
      <c r="AM96" s="16">
        <v>0</v>
      </c>
      <c r="AN96" s="9">
        <v>0</v>
      </c>
      <c r="AO96" s="9">
        <v>0</v>
      </c>
      <c r="AP96" s="10" t="s">
        <v>204</v>
      </c>
      <c r="AQ96" s="16">
        <v>0</v>
      </c>
      <c r="AR96" s="9">
        <v>0</v>
      </c>
      <c r="AS96" s="9">
        <v>0</v>
      </c>
      <c r="AT96" s="10" t="s">
        <v>204</v>
      </c>
      <c r="AU96" s="16">
        <v>0</v>
      </c>
      <c r="AV96" s="9">
        <v>0</v>
      </c>
      <c r="AW96" s="9">
        <v>0</v>
      </c>
      <c r="AX96" s="10" t="s">
        <v>204</v>
      </c>
      <c r="AY96" s="16">
        <v>0</v>
      </c>
      <c r="AZ96" s="9">
        <v>0</v>
      </c>
      <c r="BA96" s="9">
        <v>0</v>
      </c>
      <c r="BB96" s="10" t="s">
        <v>72</v>
      </c>
      <c r="BC96" s="12">
        <v>1000424246</v>
      </c>
      <c r="BD96" s="10" t="s">
        <v>205</v>
      </c>
    </row>
    <row r="97" spans="1:56" s="1" customFormat="1" ht="18" customHeight="1" x14ac:dyDescent="0.2">
      <c r="A97" s="12">
        <v>96</v>
      </c>
      <c r="B97" s="10" t="s">
        <v>91</v>
      </c>
      <c r="C97" s="10" t="s">
        <v>68</v>
      </c>
      <c r="D97" s="10" t="s">
        <v>104</v>
      </c>
      <c r="E97" s="10" t="s">
        <v>263</v>
      </c>
      <c r="F97" s="10"/>
      <c r="G97" s="10" t="s">
        <v>264</v>
      </c>
      <c r="H97" s="10" t="s">
        <v>74</v>
      </c>
      <c r="I97" s="12">
        <v>50</v>
      </c>
      <c r="J97" s="16">
        <v>1410.25</v>
      </c>
      <c r="K97" s="16">
        <v>70512.5</v>
      </c>
      <c r="L97" s="31">
        <v>3.9710000000000001</v>
      </c>
      <c r="M97" s="16">
        <v>1410.25</v>
      </c>
      <c r="N97" s="10" t="s">
        <v>204</v>
      </c>
      <c r="O97" s="16">
        <v>0</v>
      </c>
      <c r="P97" s="12">
        <v>0</v>
      </c>
      <c r="Q97" s="12">
        <v>0</v>
      </c>
      <c r="R97" s="10" t="s">
        <v>204</v>
      </c>
      <c r="S97" s="16">
        <v>0</v>
      </c>
      <c r="T97" s="9">
        <v>0</v>
      </c>
      <c r="U97" s="9">
        <v>0</v>
      </c>
      <c r="V97" s="10" t="s">
        <v>204</v>
      </c>
      <c r="W97" s="16">
        <v>0</v>
      </c>
      <c r="X97" s="9">
        <v>0</v>
      </c>
      <c r="Y97" s="9">
        <v>0</v>
      </c>
      <c r="Z97" s="10" t="s">
        <v>204</v>
      </c>
      <c r="AA97" s="16">
        <v>0</v>
      </c>
      <c r="AB97" s="9">
        <v>0</v>
      </c>
      <c r="AC97" s="9">
        <v>0</v>
      </c>
      <c r="AD97" s="10" t="s">
        <v>204</v>
      </c>
      <c r="AE97" s="16">
        <v>0</v>
      </c>
      <c r="AF97" s="9">
        <v>0</v>
      </c>
      <c r="AG97" s="9">
        <v>0</v>
      </c>
      <c r="AH97" s="10" t="s">
        <v>204</v>
      </c>
      <c r="AI97" s="16">
        <v>0</v>
      </c>
      <c r="AJ97" s="9">
        <v>0</v>
      </c>
      <c r="AK97" s="9">
        <v>0</v>
      </c>
      <c r="AL97" s="10" t="s">
        <v>204</v>
      </c>
      <c r="AM97" s="16">
        <v>0</v>
      </c>
      <c r="AN97" s="9">
        <v>0</v>
      </c>
      <c r="AO97" s="9">
        <v>0</v>
      </c>
      <c r="AP97" s="10" t="s">
        <v>204</v>
      </c>
      <c r="AQ97" s="16">
        <v>0</v>
      </c>
      <c r="AR97" s="9">
        <v>0</v>
      </c>
      <c r="AS97" s="9">
        <v>0</v>
      </c>
      <c r="AT97" s="10" t="s">
        <v>204</v>
      </c>
      <c r="AU97" s="16">
        <v>0</v>
      </c>
      <c r="AV97" s="9">
        <v>0</v>
      </c>
      <c r="AW97" s="9">
        <v>0</v>
      </c>
      <c r="AX97" s="10" t="s">
        <v>204</v>
      </c>
      <c r="AY97" s="16">
        <v>0</v>
      </c>
      <c r="AZ97" s="9">
        <v>0</v>
      </c>
      <c r="BA97" s="9">
        <v>0</v>
      </c>
      <c r="BB97" s="10" t="s">
        <v>72</v>
      </c>
      <c r="BC97" s="12">
        <v>1000419825</v>
      </c>
      <c r="BD97" s="10" t="s">
        <v>205</v>
      </c>
    </row>
    <row r="98" spans="1:56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/>
  </sheetViews>
  <sheetFormatPr defaultRowHeight="12.75" x14ac:dyDescent="0.2"/>
  <cols>
    <col min="1" max="3" width="14.7109375" customWidth="1"/>
    <col min="4" max="8" width="15.85546875" customWidth="1"/>
    <col min="9" max="21" width="14.7109375" customWidth="1"/>
    <col min="22" max="23" width="15.85546875" customWidth="1"/>
    <col min="24" max="24" width="14.7109375" customWidth="1"/>
    <col min="25" max="25" width="4.7109375" customWidth="1"/>
  </cols>
  <sheetData>
    <row r="1" spans="1:24" s="1" customFormat="1" ht="18" customHeight="1" x14ac:dyDescent="0.2">
      <c r="A1" s="25" t="s">
        <v>115</v>
      </c>
      <c r="B1" s="25" t="s">
        <v>339</v>
      </c>
      <c r="C1" s="25" t="s">
        <v>340</v>
      </c>
      <c r="D1" s="25" t="s">
        <v>341</v>
      </c>
      <c r="E1" s="25" t="s">
        <v>342</v>
      </c>
      <c r="F1" s="25" t="s">
        <v>343</v>
      </c>
      <c r="G1" s="25" t="s">
        <v>344</v>
      </c>
      <c r="H1" s="25" t="s">
        <v>345</v>
      </c>
      <c r="I1" s="25" t="s">
        <v>346</v>
      </c>
      <c r="J1" s="26" t="s">
        <v>347</v>
      </c>
      <c r="K1" s="26" t="s">
        <v>348</v>
      </c>
      <c r="L1" s="26" t="s">
        <v>349</v>
      </c>
      <c r="M1" s="26" t="s">
        <v>350</v>
      </c>
      <c r="N1" s="26" t="s">
        <v>351</v>
      </c>
      <c r="O1" s="26" t="s">
        <v>352</v>
      </c>
      <c r="P1" s="26" t="s">
        <v>353</v>
      </c>
      <c r="Q1" s="25" t="s">
        <v>354</v>
      </c>
      <c r="R1" s="25" t="s">
        <v>355</v>
      </c>
      <c r="S1" s="25" t="s">
        <v>356</v>
      </c>
      <c r="T1" s="25" t="s">
        <v>357</v>
      </c>
      <c r="U1" s="25" t="s">
        <v>358</v>
      </c>
      <c r="V1" s="25" t="s">
        <v>359</v>
      </c>
      <c r="W1" s="25" t="s">
        <v>360</v>
      </c>
      <c r="X1" s="25" t="s">
        <v>361</v>
      </c>
    </row>
    <row r="2" spans="1:24" s="1" customFormat="1" ht="13.5" customHeight="1" x14ac:dyDescent="0.2">
      <c r="A2" s="21"/>
      <c r="B2" s="21"/>
      <c r="C2" s="21"/>
      <c r="D2" s="27">
        <v>45411.701476643517</v>
      </c>
      <c r="E2" s="27">
        <v>45411.701476643517</v>
      </c>
      <c r="F2" s="28">
        <v>0</v>
      </c>
      <c r="G2" s="16">
        <v>0</v>
      </c>
      <c r="H2" s="16">
        <v>0</v>
      </c>
      <c r="I2" s="16">
        <v>0</v>
      </c>
      <c r="J2" s="21"/>
      <c r="K2" s="27">
        <v>45411.701476643517</v>
      </c>
      <c r="L2" s="27">
        <v>45411.701476643517</v>
      </c>
      <c r="M2" s="28">
        <v>0</v>
      </c>
      <c r="N2" s="16">
        <v>0</v>
      </c>
      <c r="O2" s="16">
        <v>0</v>
      </c>
      <c r="P2" s="16">
        <v>0</v>
      </c>
      <c r="Q2" s="27">
        <v>45411.701476643517</v>
      </c>
      <c r="R2" s="27">
        <v>45411.701476643517</v>
      </c>
      <c r="S2" s="28">
        <v>0</v>
      </c>
      <c r="T2" s="9">
        <v>0</v>
      </c>
      <c r="U2" s="16">
        <v>0</v>
      </c>
      <c r="V2" s="16">
        <v>0</v>
      </c>
      <c r="W2" s="16">
        <v>0</v>
      </c>
      <c r="X2" s="16">
        <v>0</v>
      </c>
    </row>
    <row r="3" spans="1:24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workbookViewId="0"/>
  </sheetViews>
  <sheetFormatPr defaultRowHeight="12.75" x14ac:dyDescent="0.2"/>
  <cols>
    <col min="1" max="1" width="21.5703125" customWidth="1"/>
    <col min="2" max="2" width="17" customWidth="1"/>
    <col min="3" max="3" width="11.5703125" customWidth="1"/>
    <col min="4" max="9" width="5.28515625" customWidth="1"/>
    <col min="10" max="10" width="7" customWidth="1"/>
    <col min="11" max="12" width="6.7109375" customWidth="1"/>
    <col min="13" max="13" width="6.42578125" customWidth="1"/>
    <col min="14" max="14" width="7" customWidth="1"/>
    <col min="15" max="15" width="7.140625" customWidth="1"/>
    <col min="16" max="16" width="5.28515625" customWidth="1"/>
    <col min="17" max="17" width="8.7109375" customWidth="1"/>
    <col min="18" max="18" width="10.140625" customWidth="1"/>
    <col min="19" max="19" width="10.28515625" customWidth="1"/>
    <col min="20" max="20" width="11.7109375" customWidth="1"/>
    <col min="21" max="21" width="9.85546875" customWidth="1"/>
    <col min="22" max="22" width="8" customWidth="1"/>
    <col min="23" max="23" width="13" customWidth="1"/>
    <col min="24" max="24" width="11.140625" customWidth="1"/>
    <col min="25" max="25" width="7.28515625" customWidth="1"/>
    <col min="26" max="26" width="14.7109375" customWidth="1"/>
    <col min="27" max="28" width="8" customWidth="1"/>
    <col min="29" max="29" width="10.140625" customWidth="1"/>
    <col min="30" max="32" width="9" customWidth="1"/>
    <col min="33" max="33" width="7.7109375" customWidth="1"/>
    <col min="34" max="34" width="8.28515625" customWidth="1"/>
    <col min="35" max="35" width="8.5703125" customWidth="1"/>
    <col min="36" max="36" width="14.7109375" customWidth="1"/>
    <col min="37" max="37" width="10.7109375" customWidth="1"/>
    <col min="38" max="40" width="9.85546875" customWidth="1"/>
    <col min="41" max="41" width="11.7109375" customWidth="1"/>
    <col min="42" max="42" width="12.7109375" customWidth="1"/>
    <col min="43" max="43" width="13.28515625" customWidth="1"/>
    <col min="44" max="44" width="9.5703125" customWidth="1"/>
    <col min="45" max="45" width="8.85546875" customWidth="1"/>
    <col min="46" max="48" width="7.28515625" customWidth="1"/>
    <col min="49" max="49" width="12.7109375" customWidth="1"/>
    <col min="50" max="50" width="4.7109375" customWidth="1"/>
  </cols>
  <sheetData>
    <row r="1" spans="1:49" s="1" customFormat="1" ht="34.5" customHeight="1" x14ac:dyDescent="0.2">
      <c r="A1" s="3" t="s">
        <v>3</v>
      </c>
      <c r="B1" s="3" t="s">
        <v>57</v>
      </c>
      <c r="C1" s="3" t="s">
        <v>362</v>
      </c>
      <c r="D1" s="3" t="s">
        <v>363</v>
      </c>
      <c r="E1" s="3" t="s">
        <v>364</v>
      </c>
      <c r="F1" s="3" t="s">
        <v>365</v>
      </c>
      <c r="G1" s="3" t="s">
        <v>366</v>
      </c>
      <c r="H1" s="3" t="s">
        <v>151</v>
      </c>
      <c r="I1" s="3" t="s">
        <v>367</v>
      </c>
      <c r="J1" s="32" t="s">
        <v>368</v>
      </c>
      <c r="K1" s="32" t="s">
        <v>369</v>
      </c>
      <c r="L1" s="32" t="s">
        <v>370</v>
      </c>
      <c r="M1" s="32" t="s">
        <v>371</v>
      </c>
      <c r="N1" s="32" t="s">
        <v>372</v>
      </c>
      <c r="O1" s="32" t="s">
        <v>373</v>
      </c>
      <c r="P1" s="3" t="s">
        <v>374</v>
      </c>
      <c r="Q1" s="3" t="s">
        <v>375</v>
      </c>
      <c r="R1" s="3" t="s">
        <v>49</v>
      </c>
      <c r="S1" s="3" t="s">
        <v>376</v>
      </c>
      <c r="T1" s="3" t="s">
        <v>377</v>
      </c>
      <c r="U1" s="3" t="s">
        <v>378</v>
      </c>
      <c r="V1" s="3" t="s">
        <v>379</v>
      </c>
      <c r="W1" s="3" t="s">
        <v>7</v>
      </c>
      <c r="X1" s="3" t="s">
        <v>56</v>
      </c>
      <c r="Y1" s="3" t="s">
        <v>380</v>
      </c>
      <c r="Z1" s="3" t="s">
        <v>381</v>
      </c>
      <c r="AA1" s="3" t="s">
        <v>382</v>
      </c>
      <c r="AB1" s="3" t="s">
        <v>2</v>
      </c>
      <c r="AC1" s="3" t="s">
        <v>383</v>
      </c>
      <c r="AD1" s="3" t="s">
        <v>384</v>
      </c>
      <c r="AE1" s="3" t="s">
        <v>385</v>
      </c>
      <c r="AF1" s="3" t="s">
        <v>386</v>
      </c>
      <c r="AG1" s="3" t="s">
        <v>387</v>
      </c>
      <c r="AH1" s="3" t="s">
        <v>388</v>
      </c>
      <c r="AI1" s="3" t="s">
        <v>389</v>
      </c>
      <c r="AJ1" s="3" t="s">
        <v>390</v>
      </c>
      <c r="AK1" s="3" t="s">
        <v>391</v>
      </c>
      <c r="AL1" s="3" t="s">
        <v>392</v>
      </c>
      <c r="AM1" s="3" t="s">
        <v>393</v>
      </c>
      <c r="AN1" s="3" t="s">
        <v>394</v>
      </c>
      <c r="AO1" s="3" t="s">
        <v>395</v>
      </c>
      <c r="AP1" s="3" t="s">
        <v>396</v>
      </c>
      <c r="AQ1" s="2" t="s">
        <v>61</v>
      </c>
      <c r="AR1" s="4" t="s">
        <v>397</v>
      </c>
      <c r="AS1" s="4" t="s">
        <v>398</v>
      </c>
      <c r="AT1" s="4" t="s">
        <v>399</v>
      </c>
      <c r="AU1" s="4" t="s">
        <v>400</v>
      </c>
      <c r="AV1" s="4" t="s">
        <v>401</v>
      </c>
      <c r="AW1" s="3" t="s">
        <v>402</v>
      </c>
    </row>
    <row r="2" spans="1:49" s="1" customFormat="1" ht="15" customHeight="1" x14ac:dyDescent="0.2">
      <c r="A2" s="10" t="s">
        <v>92</v>
      </c>
      <c r="B2" s="10" t="s">
        <v>95</v>
      </c>
      <c r="C2" s="10" t="s">
        <v>71</v>
      </c>
      <c r="D2" s="33">
        <v>45378.760509259257</v>
      </c>
      <c r="E2" s="10" t="s">
        <v>93</v>
      </c>
      <c r="F2" s="10" t="s">
        <v>67</v>
      </c>
      <c r="G2" s="10" t="s">
        <v>403</v>
      </c>
      <c r="H2" s="10" t="s">
        <v>74</v>
      </c>
      <c r="I2" s="10" t="s">
        <v>404</v>
      </c>
      <c r="J2" s="10"/>
      <c r="K2" s="10" t="s">
        <v>70</v>
      </c>
      <c r="L2" s="10"/>
      <c r="M2" s="10"/>
      <c r="N2" s="34"/>
      <c r="O2" s="34"/>
      <c r="P2" s="35">
        <v>1</v>
      </c>
      <c r="Q2" s="34" t="s">
        <v>405</v>
      </c>
      <c r="R2" s="10" t="s">
        <v>71</v>
      </c>
      <c r="S2" s="10" t="s">
        <v>406</v>
      </c>
      <c r="T2" s="10" t="s">
        <v>407</v>
      </c>
      <c r="U2" s="10" t="s">
        <v>408</v>
      </c>
      <c r="V2" s="10" t="s">
        <v>409</v>
      </c>
      <c r="W2" s="10" t="s">
        <v>68</v>
      </c>
      <c r="X2" s="10" t="s">
        <v>72</v>
      </c>
      <c r="Y2" s="10" t="s">
        <v>410</v>
      </c>
      <c r="Z2" s="10" t="s">
        <v>94</v>
      </c>
      <c r="AA2" s="10" t="s">
        <v>411</v>
      </c>
      <c r="AB2" s="10" t="s">
        <v>91</v>
      </c>
      <c r="AC2" s="10" t="s">
        <v>412</v>
      </c>
      <c r="AD2" s="16">
        <v>678.82</v>
      </c>
      <c r="AE2" s="9">
        <v>10</v>
      </c>
      <c r="AF2" s="16">
        <v>6788.2000000000007</v>
      </c>
      <c r="AG2" s="10"/>
      <c r="AH2" s="10"/>
      <c r="AI2" s="10"/>
      <c r="AJ2" s="10" t="s">
        <v>94</v>
      </c>
      <c r="AK2" s="10" t="s">
        <v>410</v>
      </c>
      <c r="AL2" s="16">
        <v>0</v>
      </c>
      <c r="AM2" s="9">
        <v>0</v>
      </c>
      <c r="AN2" s="16">
        <v>0</v>
      </c>
      <c r="AO2" s="10"/>
      <c r="AP2" s="10"/>
      <c r="AQ2" s="10" t="s">
        <v>96</v>
      </c>
      <c r="AR2" s="36">
        <v>2099</v>
      </c>
      <c r="AS2" s="37">
        <v>10</v>
      </c>
      <c r="AT2" s="11"/>
      <c r="AU2" s="36">
        <v>0</v>
      </c>
      <c r="AV2" s="11" t="s">
        <v>413</v>
      </c>
      <c r="AW2" s="38" t="s">
        <v>413</v>
      </c>
    </row>
    <row r="3" spans="1:49" s="1" customFormat="1" ht="15" customHeight="1" x14ac:dyDescent="0.2">
      <c r="A3" s="10" t="s">
        <v>92</v>
      </c>
      <c r="B3" s="10" t="s">
        <v>95</v>
      </c>
      <c r="C3" s="10" t="s">
        <v>71</v>
      </c>
      <c r="D3" s="33">
        <v>45378.760509259257</v>
      </c>
      <c r="E3" s="10" t="s">
        <v>93</v>
      </c>
      <c r="F3" s="10" t="s">
        <v>67</v>
      </c>
      <c r="G3" s="10" t="s">
        <v>403</v>
      </c>
      <c r="H3" s="10" t="s">
        <v>74</v>
      </c>
      <c r="I3" s="10" t="s">
        <v>404</v>
      </c>
      <c r="J3" s="10"/>
      <c r="K3" s="10" t="s">
        <v>70</v>
      </c>
      <c r="L3" s="10"/>
      <c r="M3" s="10"/>
      <c r="N3" s="34"/>
      <c r="O3" s="34"/>
      <c r="P3" s="35">
        <v>2</v>
      </c>
      <c r="Q3" s="34" t="s">
        <v>405</v>
      </c>
      <c r="R3" s="10" t="s">
        <v>71</v>
      </c>
      <c r="S3" s="10" t="s">
        <v>406</v>
      </c>
      <c r="T3" s="10" t="s">
        <v>407</v>
      </c>
      <c r="U3" s="10" t="s">
        <v>408</v>
      </c>
      <c r="V3" s="10" t="s">
        <v>409</v>
      </c>
      <c r="W3" s="10" t="s">
        <v>68</v>
      </c>
      <c r="X3" s="10" t="s">
        <v>72</v>
      </c>
      <c r="Y3" s="10" t="s">
        <v>410</v>
      </c>
      <c r="Z3" s="10" t="s">
        <v>98</v>
      </c>
      <c r="AA3" s="10" t="s">
        <v>411</v>
      </c>
      <c r="AB3" s="10" t="s">
        <v>91</v>
      </c>
      <c r="AC3" s="10" t="s">
        <v>412</v>
      </c>
      <c r="AD3" s="16">
        <v>152.54</v>
      </c>
      <c r="AE3" s="9">
        <v>14</v>
      </c>
      <c r="AF3" s="16">
        <v>2135.5600000000004</v>
      </c>
      <c r="AG3" s="10"/>
      <c r="AH3" s="10"/>
      <c r="AI3" s="10"/>
      <c r="AJ3" s="10" t="s">
        <v>98</v>
      </c>
      <c r="AK3" s="10" t="s">
        <v>410</v>
      </c>
      <c r="AL3" s="16">
        <v>0</v>
      </c>
      <c r="AM3" s="9">
        <v>0</v>
      </c>
      <c r="AN3" s="16">
        <v>0</v>
      </c>
      <c r="AO3" s="10"/>
      <c r="AP3" s="10"/>
      <c r="AQ3" s="10" t="s">
        <v>99</v>
      </c>
      <c r="AR3" s="36">
        <v>2799</v>
      </c>
      <c r="AS3" s="37">
        <v>10</v>
      </c>
      <c r="AT3" s="11"/>
      <c r="AU3" s="36">
        <v>0</v>
      </c>
      <c r="AV3" s="11" t="s">
        <v>413</v>
      </c>
      <c r="AW3" s="38" t="s">
        <v>413</v>
      </c>
    </row>
    <row r="4" spans="1:49" s="1" customFormat="1" ht="15" customHeight="1" x14ac:dyDescent="0.2">
      <c r="A4" s="10" t="s">
        <v>92</v>
      </c>
      <c r="B4" s="10" t="s">
        <v>95</v>
      </c>
      <c r="C4" s="10" t="s">
        <v>71</v>
      </c>
      <c r="D4" s="33">
        <v>45378.760509259257</v>
      </c>
      <c r="E4" s="10" t="s">
        <v>93</v>
      </c>
      <c r="F4" s="10" t="s">
        <v>67</v>
      </c>
      <c r="G4" s="10" t="s">
        <v>403</v>
      </c>
      <c r="H4" s="10" t="s">
        <v>74</v>
      </c>
      <c r="I4" s="10" t="s">
        <v>404</v>
      </c>
      <c r="J4" s="10"/>
      <c r="K4" s="10" t="s">
        <v>70</v>
      </c>
      <c r="L4" s="10"/>
      <c r="M4" s="10"/>
      <c r="N4" s="34"/>
      <c r="O4" s="34"/>
      <c r="P4" s="35">
        <v>3</v>
      </c>
      <c r="Q4" s="34" t="s">
        <v>405</v>
      </c>
      <c r="R4" s="10" t="s">
        <v>71</v>
      </c>
      <c r="S4" s="10" t="s">
        <v>406</v>
      </c>
      <c r="T4" s="10" t="s">
        <v>407</v>
      </c>
      <c r="U4" s="10" t="s">
        <v>408</v>
      </c>
      <c r="V4" s="10" t="s">
        <v>409</v>
      </c>
      <c r="W4" s="10" t="s">
        <v>68</v>
      </c>
      <c r="X4" s="10" t="s">
        <v>72</v>
      </c>
      <c r="Y4" s="10" t="s">
        <v>410</v>
      </c>
      <c r="Z4" s="10" t="s">
        <v>101</v>
      </c>
      <c r="AA4" s="10" t="s">
        <v>411</v>
      </c>
      <c r="AB4" s="10" t="s">
        <v>91</v>
      </c>
      <c r="AC4" s="10" t="s">
        <v>412</v>
      </c>
      <c r="AD4" s="16">
        <v>1144.07</v>
      </c>
      <c r="AE4" s="9">
        <v>7</v>
      </c>
      <c r="AF4" s="16">
        <v>8008.4900000000007</v>
      </c>
      <c r="AG4" s="10"/>
      <c r="AH4" s="10"/>
      <c r="AI4" s="10"/>
      <c r="AJ4" s="10" t="s">
        <v>101</v>
      </c>
      <c r="AK4" s="10" t="s">
        <v>410</v>
      </c>
      <c r="AL4" s="16">
        <v>0</v>
      </c>
      <c r="AM4" s="9">
        <v>0</v>
      </c>
      <c r="AN4" s="16">
        <v>0</v>
      </c>
      <c r="AO4" s="10"/>
      <c r="AP4" s="10"/>
      <c r="AQ4" s="10" t="s">
        <v>102</v>
      </c>
      <c r="AR4" s="36">
        <v>2949</v>
      </c>
      <c r="AS4" s="37">
        <v>10</v>
      </c>
      <c r="AT4" s="11"/>
      <c r="AU4" s="36">
        <v>0</v>
      </c>
      <c r="AV4" s="11" t="s">
        <v>413</v>
      </c>
      <c r="AW4" s="38" t="s">
        <v>413</v>
      </c>
    </row>
    <row r="5" spans="1:49" s="1" customFormat="1" ht="15" customHeight="1" x14ac:dyDescent="0.2">
      <c r="A5" s="10" t="s">
        <v>92</v>
      </c>
      <c r="B5" s="10" t="s">
        <v>95</v>
      </c>
      <c r="C5" s="10" t="s">
        <v>71</v>
      </c>
      <c r="D5" s="33">
        <v>45378.760509259257</v>
      </c>
      <c r="E5" s="10" t="s">
        <v>93</v>
      </c>
      <c r="F5" s="10" t="s">
        <v>67</v>
      </c>
      <c r="G5" s="10" t="s">
        <v>403</v>
      </c>
      <c r="H5" s="10" t="s">
        <v>74</v>
      </c>
      <c r="I5" s="10" t="s">
        <v>404</v>
      </c>
      <c r="J5" s="10"/>
      <c r="K5" s="10" t="s">
        <v>70</v>
      </c>
      <c r="L5" s="10"/>
      <c r="M5" s="10"/>
      <c r="N5" s="34"/>
      <c r="O5" s="34"/>
      <c r="P5" s="35">
        <v>4</v>
      </c>
      <c r="Q5" s="34" t="s">
        <v>405</v>
      </c>
      <c r="R5" s="10" t="s">
        <v>71</v>
      </c>
      <c r="S5" s="10" t="s">
        <v>406</v>
      </c>
      <c r="T5" s="10" t="s">
        <v>407</v>
      </c>
      <c r="U5" s="10" t="s">
        <v>408</v>
      </c>
      <c r="V5" s="10" t="s">
        <v>409</v>
      </c>
      <c r="W5" s="10" t="s">
        <v>68</v>
      </c>
      <c r="X5" s="10" t="s">
        <v>72</v>
      </c>
      <c r="Y5" s="10" t="s">
        <v>410</v>
      </c>
      <c r="Z5" s="10" t="s">
        <v>104</v>
      </c>
      <c r="AA5" s="10" t="s">
        <v>411</v>
      </c>
      <c r="AB5" s="10" t="s">
        <v>91</v>
      </c>
      <c r="AC5" s="10" t="s">
        <v>412</v>
      </c>
      <c r="AD5" s="16">
        <v>245.81</v>
      </c>
      <c r="AE5" s="9">
        <v>30</v>
      </c>
      <c r="AF5" s="16">
        <v>7374.3</v>
      </c>
      <c r="AG5" s="10"/>
      <c r="AH5" s="10"/>
      <c r="AI5" s="10"/>
      <c r="AJ5" s="10" t="s">
        <v>104</v>
      </c>
      <c r="AK5" s="10" t="s">
        <v>410</v>
      </c>
      <c r="AL5" s="16">
        <v>0</v>
      </c>
      <c r="AM5" s="9">
        <v>0</v>
      </c>
      <c r="AN5" s="16">
        <v>0</v>
      </c>
      <c r="AO5" s="10"/>
      <c r="AP5" s="10"/>
      <c r="AQ5" s="10" t="s">
        <v>105</v>
      </c>
      <c r="AR5" s="36">
        <v>1399</v>
      </c>
      <c r="AS5" s="37">
        <v>5</v>
      </c>
      <c r="AT5" s="11"/>
      <c r="AU5" s="36">
        <v>0</v>
      </c>
      <c r="AV5" s="11" t="s">
        <v>413</v>
      </c>
      <c r="AW5" s="38" t="s">
        <v>413</v>
      </c>
    </row>
    <row r="6" spans="1:49" s="1" customFormat="1" ht="15" customHeight="1" x14ac:dyDescent="0.2">
      <c r="A6" s="10" t="s">
        <v>65</v>
      </c>
      <c r="B6" s="10" t="s">
        <v>73</v>
      </c>
      <c r="C6" s="10" t="s">
        <v>71</v>
      </c>
      <c r="D6" s="33">
        <v>45387.632407407407</v>
      </c>
      <c r="E6" s="10" t="s">
        <v>66</v>
      </c>
      <c r="F6" s="10" t="s">
        <v>67</v>
      </c>
      <c r="G6" s="10" t="s">
        <v>403</v>
      </c>
      <c r="H6" s="10" t="s">
        <v>74</v>
      </c>
      <c r="I6" s="10" t="s">
        <v>404</v>
      </c>
      <c r="J6" s="10"/>
      <c r="K6" s="10" t="s">
        <v>70</v>
      </c>
      <c r="L6" s="10"/>
      <c r="M6" s="10"/>
      <c r="N6" s="34"/>
      <c r="O6" s="34"/>
      <c r="P6" s="35">
        <v>1</v>
      </c>
      <c r="Q6" s="34" t="s">
        <v>405</v>
      </c>
      <c r="R6" s="10" t="s">
        <v>71</v>
      </c>
      <c r="S6" s="10" t="s">
        <v>406</v>
      </c>
      <c r="T6" s="10" t="s">
        <v>407</v>
      </c>
      <c r="U6" s="10" t="s">
        <v>408</v>
      </c>
      <c r="V6" s="10" t="s">
        <v>409</v>
      </c>
      <c r="W6" s="10" t="s">
        <v>68</v>
      </c>
      <c r="X6" s="10" t="s">
        <v>72</v>
      </c>
      <c r="Y6" s="10" t="s">
        <v>410</v>
      </c>
      <c r="Z6" s="10" t="s">
        <v>69</v>
      </c>
      <c r="AA6" s="10" t="s">
        <v>414</v>
      </c>
      <c r="AB6" s="10" t="s">
        <v>64</v>
      </c>
      <c r="AC6" s="10" t="s">
        <v>412</v>
      </c>
      <c r="AD6" s="16">
        <v>724.57</v>
      </c>
      <c r="AE6" s="9">
        <v>8</v>
      </c>
      <c r="AF6" s="16">
        <v>5796.56</v>
      </c>
      <c r="AG6" s="10"/>
      <c r="AH6" s="10"/>
      <c r="AI6" s="10"/>
      <c r="AJ6" s="10" t="s">
        <v>69</v>
      </c>
      <c r="AK6" s="10" t="s">
        <v>410</v>
      </c>
      <c r="AL6" s="16">
        <v>0</v>
      </c>
      <c r="AM6" s="9">
        <v>0</v>
      </c>
      <c r="AN6" s="16">
        <v>0</v>
      </c>
      <c r="AO6" s="10"/>
      <c r="AP6" s="10"/>
      <c r="AQ6" s="10" t="s">
        <v>75</v>
      </c>
      <c r="AR6" s="36">
        <v>1599</v>
      </c>
      <c r="AS6" s="37">
        <v>10</v>
      </c>
      <c r="AT6" s="11"/>
      <c r="AU6" s="36">
        <v>8</v>
      </c>
      <c r="AV6" s="11" t="s">
        <v>413</v>
      </c>
      <c r="AW6" s="38" t="s">
        <v>413</v>
      </c>
    </row>
    <row r="7" spans="1:49" s="1" customFormat="1" ht="15" customHeight="1" x14ac:dyDescent="0.2">
      <c r="A7" s="10" t="s">
        <v>77</v>
      </c>
      <c r="B7" s="10" t="s">
        <v>80</v>
      </c>
      <c r="C7" s="10" t="s">
        <v>71</v>
      </c>
      <c r="D7" s="33">
        <v>45398.439733796295</v>
      </c>
      <c r="E7" s="10" t="s">
        <v>78</v>
      </c>
      <c r="F7" s="10" t="s">
        <v>67</v>
      </c>
      <c r="G7" s="10" t="s">
        <v>403</v>
      </c>
      <c r="H7" s="10" t="s">
        <v>74</v>
      </c>
      <c r="I7" s="10" t="s">
        <v>404</v>
      </c>
      <c r="J7" s="10"/>
      <c r="K7" s="10" t="s">
        <v>70</v>
      </c>
      <c r="L7" s="10"/>
      <c r="M7" s="10"/>
      <c r="N7" s="34"/>
      <c r="O7" s="34"/>
      <c r="P7" s="35">
        <v>1</v>
      </c>
      <c r="Q7" s="34" t="s">
        <v>405</v>
      </c>
      <c r="R7" s="10" t="s">
        <v>71</v>
      </c>
      <c r="S7" s="10" t="s">
        <v>406</v>
      </c>
      <c r="T7" s="10" t="s">
        <v>407</v>
      </c>
      <c r="U7" s="10" t="s">
        <v>408</v>
      </c>
      <c r="V7" s="10" t="s">
        <v>409</v>
      </c>
      <c r="W7" s="10" t="s">
        <v>68</v>
      </c>
      <c r="X7" s="10" t="s">
        <v>72</v>
      </c>
      <c r="Y7" s="10" t="s">
        <v>410</v>
      </c>
      <c r="Z7" s="10" t="s">
        <v>79</v>
      </c>
      <c r="AA7" s="10" t="s">
        <v>414</v>
      </c>
      <c r="AB7" s="10" t="s">
        <v>64</v>
      </c>
      <c r="AC7" s="10" t="s">
        <v>412</v>
      </c>
      <c r="AD7" s="16">
        <v>76.27000000000001</v>
      </c>
      <c r="AE7" s="9">
        <v>21</v>
      </c>
      <c r="AF7" s="16">
        <v>1601.67</v>
      </c>
      <c r="AG7" s="10"/>
      <c r="AH7" s="10"/>
      <c r="AI7" s="10"/>
      <c r="AJ7" s="10" t="s">
        <v>79</v>
      </c>
      <c r="AK7" s="10" t="s">
        <v>410</v>
      </c>
      <c r="AL7" s="16">
        <v>0</v>
      </c>
      <c r="AM7" s="9">
        <v>0</v>
      </c>
      <c r="AN7" s="16">
        <v>0</v>
      </c>
      <c r="AO7" s="10"/>
      <c r="AP7" s="10"/>
      <c r="AQ7" s="10" t="s">
        <v>81</v>
      </c>
      <c r="AR7" s="36">
        <v>379</v>
      </c>
      <c r="AS7" s="37">
        <v>10</v>
      </c>
      <c r="AT7" s="11"/>
      <c r="AU7" s="36">
        <v>0</v>
      </c>
      <c r="AV7" s="11" t="s">
        <v>413</v>
      </c>
      <c r="AW7" s="38" t="s">
        <v>413</v>
      </c>
    </row>
    <row r="8" spans="1:49" s="1" customFormat="1" ht="15" customHeight="1" x14ac:dyDescent="0.2">
      <c r="A8" s="10" t="s">
        <v>83</v>
      </c>
      <c r="B8" s="10" t="s">
        <v>86</v>
      </c>
      <c r="C8" s="10" t="s">
        <v>71</v>
      </c>
      <c r="D8" s="33">
        <v>45398.833113425921</v>
      </c>
      <c r="E8" s="10" t="s">
        <v>84</v>
      </c>
      <c r="F8" s="10" t="s">
        <v>67</v>
      </c>
      <c r="G8" s="10" t="s">
        <v>403</v>
      </c>
      <c r="H8" s="10" t="s">
        <v>74</v>
      </c>
      <c r="I8" s="10" t="s">
        <v>404</v>
      </c>
      <c r="J8" s="10"/>
      <c r="K8" s="10" t="s">
        <v>70</v>
      </c>
      <c r="L8" s="10"/>
      <c r="M8" s="10"/>
      <c r="N8" s="34"/>
      <c r="O8" s="34"/>
      <c r="P8" s="35">
        <v>1</v>
      </c>
      <c r="Q8" s="34" t="s">
        <v>405</v>
      </c>
      <c r="R8" s="10" t="s">
        <v>71</v>
      </c>
      <c r="S8" s="10" t="s">
        <v>406</v>
      </c>
      <c r="T8" s="10" t="s">
        <v>407</v>
      </c>
      <c r="U8" s="10" t="s">
        <v>408</v>
      </c>
      <c r="V8" s="10" t="s">
        <v>409</v>
      </c>
      <c r="W8" s="10" t="s">
        <v>68</v>
      </c>
      <c r="X8" s="10" t="s">
        <v>72</v>
      </c>
      <c r="Y8" s="10" t="s">
        <v>410</v>
      </c>
      <c r="Z8" s="10" t="s">
        <v>85</v>
      </c>
      <c r="AA8" s="10" t="s">
        <v>414</v>
      </c>
      <c r="AB8" s="10" t="s">
        <v>64</v>
      </c>
      <c r="AC8" s="10" t="s">
        <v>412</v>
      </c>
      <c r="AD8" s="16">
        <v>7.63</v>
      </c>
      <c r="AE8" s="9">
        <v>140</v>
      </c>
      <c r="AF8" s="16">
        <v>1068.2</v>
      </c>
      <c r="AG8" s="10"/>
      <c r="AH8" s="10"/>
      <c r="AI8" s="10"/>
      <c r="AJ8" s="10" t="s">
        <v>85</v>
      </c>
      <c r="AK8" s="10" t="s">
        <v>410</v>
      </c>
      <c r="AL8" s="16">
        <v>0</v>
      </c>
      <c r="AM8" s="9">
        <v>0</v>
      </c>
      <c r="AN8" s="16">
        <v>0</v>
      </c>
      <c r="AO8" s="10"/>
      <c r="AP8" s="10"/>
      <c r="AQ8" s="10" t="s">
        <v>87</v>
      </c>
      <c r="AR8" s="36">
        <v>539</v>
      </c>
      <c r="AS8" s="37">
        <v>10</v>
      </c>
      <c r="AT8" s="11"/>
      <c r="AU8" s="36">
        <v>0</v>
      </c>
      <c r="AV8" s="11" t="s">
        <v>413</v>
      </c>
      <c r="AW8" s="38" t="s">
        <v>413</v>
      </c>
    </row>
    <row r="9" spans="1:49" s="1" customFormat="1" ht="15" customHeight="1" x14ac:dyDescent="0.2">
      <c r="A9" s="10" t="s">
        <v>83</v>
      </c>
      <c r="B9" s="10" t="s">
        <v>86</v>
      </c>
      <c r="C9" s="10" t="s">
        <v>71</v>
      </c>
      <c r="D9" s="33">
        <v>45398.833113425921</v>
      </c>
      <c r="E9" s="10" t="s">
        <v>84</v>
      </c>
      <c r="F9" s="10" t="s">
        <v>67</v>
      </c>
      <c r="G9" s="10" t="s">
        <v>403</v>
      </c>
      <c r="H9" s="10" t="s">
        <v>74</v>
      </c>
      <c r="I9" s="10" t="s">
        <v>404</v>
      </c>
      <c r="J9" s="10"/>
      <c r="K9" s="10" t="s">
        <v>70</v>
      </c>
      <c r="L9" s="10"/>
      <c r="M9" s="10"/>
      <c r="N9" s="34"/>
      <c r="O9" s="34"/>
      <c r="P9" s="35">
        <v>2</v>
      </c>
      <c r="Q9" s="34" t="s">
        <v>405</v>
      </c>
      <c r="R9" s="10" t="s">
        <v>71</v>
      </c>
      <c r="S9" s="10" t="s">
        <v>406</v>
      </c>
      <c r="T9" s="10" t="s">
        <v>407</v>
      </c>
      <c r="U9" s="10" t="s">
        <v>408</v>
      </c>
      <c r="V9" s="10" t="s">
        <v>409</v>
      </c>
      <c r="W9" s="10" t="s">
        <v>68</v>
      </c>
      <c r="X9" s="10" t="s">
        <v>72</v>
      </c>
      <c r="Y9" s="10" t="s">
        <v>410</v>
      </c>
      <c r="Z9" s="10" t="s">
        <v>69</v>
      </c>
      <c r="AA9" s="10" t="s">
        <v>414</v>
      </c>
      <c r="AB9" s="10" t="s">
        <v>64</v>
      </c>
      <c r="AC9" s="10" t="s">
        <v>412</v>
      </c>
      <c r="AD9" s="16">
        <v>724.57</v>
      </c>
      <c r="AE9" s="9">
        <v>10</v>
      </c>
      <c r="AF9" s="16">
        <v>7245.7000000000007</v>
      </c>
      <c r="AG9" s="10"/>
      <c r="AH9" s="10"/>
      <c r="AI9" s="10"/>
      <c r="AJ9" s="10" t="s">
        <v>69</v>
      </c>
      <c r="AK9" s="10" t="s">
        <v>410</v>
      </c>
      <c r="AL9" s="16">
        <v>0</v>
      </c>
      <c r="AM9" s="9">
        <v>0</v>
      </c>
      <c r="AN9" s="16">
        <v>0</v>
      </c>
      <c r="AO9" s="10"/>
      <c r="AP9" s="10"/>
      <c r="AQ9" s="10" t="s">
        <v>89</v>
      </c>
      <c r="AR9" s="36">
        <v>1599</v>
      </c>
      <c r="AS9" s="37">
        <v>10</v>
      </c>
      <c r="AT9" s="11"/>
      <c r="AU9" s="36">
        <v>0</v>
      </c>
      <c r="AV9" s="11" t="s">
        <v>413</v>
      </c>
      <c r="AW9" s="38" t="s">
        <v>413</v>
      </c>
    </row>
    <row r="10" spans="1:49" s="1" customFormat="1" ht="15" customHeight="1" x14ac:dyDescent="0.2">
      <c r="A10" s="10" t="s">
        <v>107</v>
      </c>
      <c r="B10" s="10" t="s">
        <v>109</v>
      </c>
      <c r="C10" s="10" t="s">
        <v>71</v>
      </c>
      <c r="D10" s="33">
        <v>45398.833113425921</v>
      </c>
      <c r="E10" s="10" t="s">
        <v>84</v>
      </c>
      <c r="F10" s="10" t="s">
        <v>67</v>
      </c>
      <c r="G10" s="10" t="s">
        <v>403</v>
      </c>
      <c r="H10" s="10" t="s">
        <v>74</v>
      </c>
      <c r="I10" s="10" t="s">
        <v>404</v>
      </c>
      <c r="J10" s="10"/>
      <c r="K10" s="10" t="s">
        <v>70</v>
      </c>
      <c r="L10" s="10"/>
      <c r="M10" s="10"/>
      <c r="N10" s="34"/>
      <c r="O10" s="34"/>
      <c r="P10" s="35">
        <v>1</v>
      </c>
      <c r="Q10" s="34" t="s">
        <v>405</v>
      </c>
      <c r="R10" s="10" t="s">
        <v>71</v>
      </c>
      <c r="S10" s="10" t="s">
        <v>406</v>
      </c>
      <c r="T10" s="10" t="s">
        <v>407</v>
      </c>
      <c r="U10" s="10" t="s">
        <v>408</v>
      </c>
      <c r="V10" s="10" t="s">
        <v>409</v>
      </c>
      <c r="W10" s="10" t="s">
        <v>68</v>
      </c>
      <c r="X10" s="10" t="s">
        <v>72</v>
      </c>
      <c r="Y10" s="10" t="s">
        <v>410</v>
      </c>
      <c r="Z10" s="10" t="s">
        <v>108</v>
      </c>
      <c r="AA10" s="10" t="s">
        <v>411</v>
      </c>
      <c r="AB10" s="10" t="s">
        <v>91</v>
      </c>
      <c r="AC10" s="10" t="s">
        <v>412</v>
      </c>
      <c r="AD10" s="16">
        <v>76.27000000000001</v>
      </c>
      <c r="AE10" s="9">
        <v>40</v>
      </c>
      <c r="AF10" s="16">
        <v>3050.8</v>
      </c>
      <c r="AG10" s="10"/>
      <c r="AH10" s="10"/>
      <c r="AI10" s="10"/>
      <c r="AJ10" s="10" t="s">
        <v>108</v>
      </c>
      <c r="AK10" s="10" t="s">
        <v>410</v>
      </c>
      <c r="AL10" s="16">
        <v>0</v>
      </c>
      <c r="AM10" s="9">
        <v>0</v>
      </c>
      <c r="AN10" s="16">
        <v>0</v>
      </c>
      <c r="AO10" s="10"/>
      <c r="AP10" s="10"/>
      <c r="AQ10" s="10" t="s">
        <v>110</v>
      </c>
      <c r="AR10" s="36">
        <v>1199</v>
      </c>
      <c r="AS10" s="37">
        <v>10</v>
      </c>
      <c r="AT10" s="11"/>
      <c r="AU10" s="36">
        <v>0</v>
      </c>
      <c r="AV10" s="11" t="s">
        <v>413</v>
      </c>
      <c r="AW10" s="38" t="s">
        <v>413</v>
      </c>
    </row>
    <row r="11" spans="1:49" s="1" customFormat="1" ht="15" customHeight="1" x14ac:dyDescent="0.2">
      <c r="A11" s="10" t="s">
        <v>107</v>
      </c>
      <c r="B11" s="10" t="s">
        <v>109</v>
      </c>
      <c r="C11" s="10" t="s">
        <v>71</v>
      </c>
      <c r="D11" s="33">
        <v>45398.833113425921</v>
      </c>
      <c r="E11" s="10" t="s">
        <v>84</v>
      </c>
      <c r="F11" s="10" t="s">
        <v>67</v>
      </c>
      <c r="G11" s="10" t="s">
        <v>403</v>
      </c>
      <c r="H11" s="10" t="s">
        <v>74</v>
      </c>
      <c r="I11" s="10" t="s">
        <v>404</v>
      </c>
      <c r="J11" s="10"/>
      <c r="K11" s="10" t="s">
        <v>70</v>
      </c>
      <c r="L11" s="10"/>
      <c r="M11" s="10"/>
      <c r="N11" s="34"/>
      <c r="O11" s="34"/>
      <c r="P11" s="35">
        <v>2</v>
      </c>
      <c r="Q11" s="34" t="s">
        <v>405</v>
      </c>
      <c r="R11" s="10" t="s">
        <v>71</v>
      </c>
      <c r="S11" s="10" t="s">
        <v>406</v>
      </c>
      <c r="T11" s="10" t="s">
        <v>407</v>
      </c>
      <c r="U11" s="10" t="s">
        <v>408</v>
      </c>
      <c r="V11" s="10" t="s">
        <v>409</v>
      </c>
      <c r="W11" s="10" t="s">
        <v>68</v>
      </c>
      <c r="X11" s="10" t="s">
        <v>72</v>
      </c>
      <c r="Y11" s="10" t="s">
        <v>410</v>
      </c>
      <c r="Z11" s="10" t="s">
        <v>112</v>
      </c>
      <c r="AA11" s="10" t="s">
        <v>411</v>
      </c>
      <c r="AB11" s="10" t="s">
        <v>91</v>
      </c>
      <c r="AC11" s="10" t="s">
        <v>412</v>
      </c>
      <c r="AD11" s="16">
        <v>166.12</v>
      </c>
      <c r="AE11" s="9">
        <v>40</v>
      </c>
      <c r="AF11" s="16">
        <v>6644.8</v>
      </c>
      <c r="AG11" s="10"/>
      <c r="AH11" s="10"/>
      <c r="AI11" s="10"/>
      <c r="AJ11" s="10" t="s">
        <v>112</v>
      </c>
      <c r="AK11" s="10" t="s">
        <v>410</v>
      </c>
      <c r="AL11" s="16">
        <v>0</v>
      </c>
      <c r="AM11" s="9">
        <v>0</v>
      </c>
      <c r="AN11" s="16">
        <v>0</v>
      </c>
      <c r="AO11" s="10"/>
      <c r="AP11" s="10"/>
      <c r="AQ11" s="10" t="s">
        <v>113</v>
      </c>
      <c r="AR11" s="36">
        <v>1449</v>
      </c>
      <c r="AS11" s="37">
        <v>8</v>
      </c>
      <c r="AT11" s="11"/>
      <c r="AU11" s="36">
        <v>0</v>
      </c>
      <c r="AV11" s="11" t="s">
        <v>413</v>
      </c>
      <c r="AW11" s="38" t="s">
        <v>413</v>
      </c>
    </row>
    <row r="12" spans="1:4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RowHeight="12.75" x14ac:dyDescent="0.2"/>
  <cols>
    <col min="1" max="2" width="14.7109375" customWidth="1"/>
    <col min="3" max="3" width="7" customWidth="1"/>
    <col min="4" max="4" width="7.42578125" customWidth="1"/>
    <col min="5" max="5" width="7.28515625" customWidth="1"/>
    <col min="6" max="6" width="7.140625" customWidth="1"/>
    <col min="7" max="8" width="7" customWidth="1"/>
    <col min="9" max="10" width="7.28515625" customWidth="1"/>
    <col min="11" max="11" width="7.7109375" customWidth="1"/>
    <col min="12" max="12" width="7.140625" customWidth="1"/>
    <col min="13" max="14" width="7.5703125" customWidth="1"/>
    <col min="15" max="15" width="7.42578125" customWidth="1"/>
    <col min="16" max="16" width="7.28515625" customWidth="1"/>
    <col min="17" max="17" width="6.7109375" customWidth="1"/>
    <col min="18" max="18" width="6.42578125" customWidth="1"/>
    <col min="19" max="19" width="6.7109375" customWidth="1"/>
    <col min="20" max="20" width="4.7109375" customWidth="1"/>
  </cols>
  <sheetData>
    <row r="1" spans="1:19" s="1" customFormat="1" ht="18" customHeight="1" x14ac:dyDescent="0.2">
      <c r="A1" s="39" t="s">
        <v>5</v>
      </c>
      <c r="B1" s="39" t="s">
        <v>6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420</v>
      </c>
      <c r="I1" s="39" t="s">
        <v>421</v>
      </c>
      <c r="J1" s="39" t="s">
        <v>422</v>
      </c>
      <c r="K1" s="39" t="s">
        <v>423</v>
      </c>
      <c r="L1" s="39" t="s">
        <v>424</v>
      </c>
      <c r="M1" s="39" t="s">
        <v>425</v>
      </c>
      <c r="N1" s="39" t="s">
        <v>426</v>
      </c>
      <c r="O1" s="39" t="s">
        <v>427</v>
      </c>
      <c r="P1" s="39" t="s">
        <v>428</v>
      </c>
      <c r="Q1" s="39" t="s">
        <v>429</v>
      </c>
      <c r="R1" s="39" t="s">
        <v>430</v>
      </c>
      <c r="S1" s="39" t="s">
        <v>431</v>
      </c>
    </row>
    <row r="2" spans="1:19" s="1" customFormat="1" ht="18" customHeight="1" x14ac:dyDescent="0.2">
      <c r="A2" s="40">
        <v>45411.701476817128</v>
      </c>
      <c r="B2" s="40">
        <v>45411.701476817128</v>
      </c>
      <c r="C2" s="23"/>
      <c r="D2" s="23"/>
      <c r="E2" s="23"/>
      <c r="F2" s="23"/>
      <c r="G2" s="23"/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</row>
    <row r="3" spans="1:1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workbookViewId="0"/>
  </sheetViews>
  <sheetFormatPr defaultRowHeight="12.75" x14ac:dyDescent="0.2"/>
  <cols>
    <col min="1" max="1" width="0.7109375" customWidth="1"/>
    <col min="2" max="7" width="14.7109375" customWidth="1"/>
    <col min="8" max="8" width="4.7109375" customWidth="1"/>
  </cols>
  <sheetData>
    <row r="1" spans="2:7" s="1" customFormat="1" ht="10.5" customHeight="1" x14ac:dyDescent="0.2"/>
    <row r="2" spans="2:7" s="1" customFormat="1" ht="18" customHeight="1" x14ac:dyDescent="0.2">
      <c r="B2" s="41" t="s">
        <v>432</v>
      </c>
      <c r="C2" s="41" t="s">
        <v>433</v>
      </c>
      <c r="D2" s="41" t="s">
        <v>434</v>
      </c>
      <c r="E2" s="41" t="s">
        <v>435</v>
      </c>
      <c r="F2" s="41" t="s">
        <v>436</v>
      </c>
      <c r="G2" s="41" t="s">
        <v>437</v>
      </c>
    </row>
    <row r="3" spans="2:7" s="1" customFormat="1" ht="18" customHeight="1" x14ac:dyDescent="0.2">
      <c r="B3" s="10" t="s">
        <v>93</v>
      </c>
      <c r="C3" s="10" t="s">
        <v>438</v>
      </c>
      <c r="D3" s="10" t="s">
        <v>74</v>
      </c>
      <c r="E3" s="10" t="s">
        <v>439</v>
      </c>
      <c r="F3" s="10" t="s">
        <v>440</v>
      </c>
      <c r="G3" s="9">
        <v>3.7109999999999999</v>
      </c>
    </row>
    <row r="4" spans="2:7" s="1" customFormat="1" ht="18" customHeight="1" x14ac:dyDescent="0.2">
      <c r="B4" s="10" t="s">
        <v>441</v>
      </c>
      <c r="C4" s="10" t="s">
        <v>438</v>
      </c>
      <c r="D4" s="10" t="s">
        <v>74</v>
      </c>
      <c r="E4" s="10" t="s">
        <v>439</v>
      </c>
      <c r="F4" s="10" t="s">
        <v>440</v>
      </c>
      <c r="G4" s="9">
        <v>3.694</v>
      </c>
    </row>
    <row r="5" spans="2:7" s="1" customFormat="1" ht="18" customHeight="1" x14ac:dyDescent="0.2">
      <c r="B5" s="10" t="s">
        <v>442</v>
      </c>
      <c r="C5" s="10" t="s">
        <v>438</v>
      </c>
      <c r="D5" s="10" t="s">
        <v>74</v>
      </c>
      <c r="E5" s="10" t="s">
        <v>439</v>
      </c>
      <c r="F5" s="10" t="s">
        <v>440</v>
      </c>
      <c r="G5" s="9">
        <v>3.6850000000000001</v>
      </c>
    </row>
    <row r="6" spans="2:7" s="1" customFormat="1" ht="18" customHeight="1" x14ac:dyDescent="0.2">
      <c r="B6" s="10" t="s">
        <v>443</v>
      </c>
      <c r="C6" s="10" t="s">
        <v>438</v>
      </c>
      <c r="D6" s="10" t="s">
        <v>74</v>
      </c>
      <c r="E6" s="10" t="s">
        <v>439</v>
      </c>
      <c r="F6" s="10" t="s">
        <v>440</v>
      </c>
      <c r="G6" s="9">
        <v>3.6909999999999998</v>
      </c>
    </row>
    <row r="7" spans="2:7" s="1" customFormat="1" ht="18" customHeight="1" x14ac:dyDescent="0.2">
      <c r="B7" s="10" t="s">
        <v>444</v>
      </c>
      <c r="C7" s="10" t="s">
        <v>438</v>
      </c>
      <c r="D7" s="10" t="s">
        <v>74</v>
      </c>
      <c r="E7" s="10" t="s">
        <v>439</v>
      </c>
      <c r="F7" s="10" t="s">
        <v>440</v>
      </c>
      <c r="G7" s="9">
        <v>3.6909999999999998</v>
      </c>
    </row>
    <row r="8" spans="2:7" s="1" customFormat="1" ht="18" customHeight="1" x14ac:dyDescent="0.2">
      <c r="B8" s="10" t="s">
        <v>445</v>
      </c>
      <c r="C8" s="10" t="s">
        <v>438</v>
      </c>
      <c r="D8" s="10" t="s">
        <v>74</v>
      </c>
      <c r="E8" s="10" t="s">
        <v>439</v>
      </c>
      <c r="F8" s="10" t="s">
        <v>440</v>
      </c>
      <c r="G8" s="9">
        <v>3.6909999999999998</v>
      </c>
    </row>
    <row r="9" spans="2:7" s="1" customFormat="1" ht="18" customHeight="1" x14ac:dyDescent="0.2">
      <c r="B9" s="10" t="s">
        <v>446</v>
      </c>
      <c r="C9" s="10" t="s">
        <v>438</v>
      </c>
      <c r="D9" s="10" t="s">
        <v>74</v>
      </c>
      <c r="E9" s="10" t="s">
        <v>439</v>
      </c>
      <c r="F9" s="10" t="s">
        <v>440</v>
      </c>
      <c r="G9" s="9">
        <v>3.681</v>
      </c>
    </row>
    <row r="10" spans="2:7" s="1" customFormat="1" ht="18" customHeight="1" x14ac:dyDescent="0.2">
      <c r="B10" s="10" t="s">
        <v>66</v>
      </c>
      <c r="C10" s="10" t="s">
        <v>438</v>
      </c>
      <c r="D10" s="10" t="s">
        <v>74</v>
      </c>
      <c r="E10" s="10" t="s">
        <v>439</v>
      </c>
      <c r="F10" s="10" t="s">
        <v>440</v>
      </c>
      <c r="G10" s="9">
        <v>3.6930000000000001</v>
      </c>
    </row>
    <row r="11" spans="2:7" s="1" customFormat="1" ht="18" customHeight="1" x14ac:dyDescent="0.2">
      <c r="B11" s="10" t="s">
        <v>447</v>
      </c>
      <c r="C11" s="10" t="s">
        <v>438</v>
      </c>
      <c r="D11" s="10" t="s">
        <v>74</v>
      </c>
      <c r="E11" s="10" t="s">
        <v>439</v>
      </c>
      <c r="F11" s="10" t="s">
        <v>440</v>
      </c>
      <c r="G11" s="9">
        <v>3.71</v>
      </c>
    </row>
    <row r="12" spans="2:7" s="1" customFormat="1" ht="18" customHeight="1" x14ac:dyDescent="0.2">
      <c r="B12" s="10" t="s">
        <v>448</v>
      </c>
      <c r="C12" s="10" t="s">
        <v>438</v>
      </c>
      <c r="D12" s="10" t="s">
        <v>74</v>
      </c>
      <c r="E12" s="10" t="s">
        <v>439</v>
      </c>
      <c r="F12" s="10" t="s">
        <v>440</v>
      </c>
      <c r="G12" s="9">
        <v>3.7109999999999999</v>
      </c>
    </row>
    <row r="13" spans="2:7" s="1" customFormat="1" ht="18" customHeight="1" x14ac:dyDescent="0.2">
      <c r="B13" s="10" t="s">
        <v>449</v>
      </c>
      <c r="C13" s="10" t="s">
        <v>438</v>
      </c>
      <c r="D13" s="10" t="s">
        <v>74</v>
      </c>
      <c r="E13" s="10" t="s">
        <v>439</v>
      </c>
      <c r="F13" s="10" t="s">
        <v>440</v>
      </c>
      <c r="G13" s="9">
        <v>3.7069999999999999</v>
      </c>
    </row>
    <row r="14" spans="2:7" s="1" customFormat="1" ht="18" customHeight="1" x14ac:dyDescent="0.2">
      <c r="B14" s="10" t="s">
        <v>450</v>
      </c>
      <c r="C14" s="10" t="s">
        <v>438</v>
      </c>
      <c r="D14" s="10" t="s">
        <v>74</v>
      </c>
      <c r="E14" s="10" t="s">
        <v>439</v>
      </c>
      <c r="F14" s="10" t="s">
        <v>440</v>
      </c>
      <c r="G14" s="9">
        <v>3.7069999999999999</v>
      </c>
    </row>
    <row r="15" spans="2:7" s="1" customFormat="1" ht="18" customHeight="1" x14ac:dyDescent="0.2">
      <c r="B15" s="10" t="s">
        <v>451</v>
      </c>
      <c r="C15" s="10" t="s">
        <v>438</v>
      </c>
      <c r="D15" s="10" t="s">
        <v>74</v>
      </c>
      <c r="E15" s="10" t="s">
        <v>439</v>
      </c>
      <c r="F15" s="10" t="s">
        <v>440</v>
      </c>
      <c r="G15" s="9">
        <v>3.7069999999999999</v>
      </c>
    </row>
    <row r="16" spans="2:7" s="1" customFormat="1" ht="18" customHeight="1" x14ac:dyDescent="0.2">
      <c r="B16" s="10" t="s">
        <v>452</v>
      </c>
      <c r="C16" s="10" t="s">
        <v>438</v>
      </c>
      <c r="D16" s="10" t="s">
        <v>74</v>
      </c>
      <c r="E16" s="10" t="s">
        <v>439</v>
      </c>
      <c r="F16" s="10" t="s">
        <v>440</v>
      </c>
      <c r="G16" s="9">
        <v>3.7250000000000001</v>
      </c>
    </row>
    <row r="17" spans="2:7" s="1" customFormat="1" ht="18" customHeight="1" x14ac:dyDescent="0.2">
      <c r="B17" s="10" t="s">
        <v>453</v>
      </c>
      <c r="C17" s="10" t="s">
        <v>438</v>
      </c>
      <c r="D17" s="10" t="s">
        <v>74</v>
      </c>
      <c r="E17" s="10" t="s">
        <v>439</v>
      </c>
      <c r="F17" s="10" t="s">
        <v>440</v>
      </c>
      <c r="G17" s="9">
        <v>3.7549999999999999</v>
      </c>
    </row>
    <row r="18" spans="2:7" s="1" customFormat="1" ht="18" customHeight="1" x14ac:dyDescent="0.2">
      <c r="B18" s="10" t="s">
        <v>454</v>
      </c>
      <c r="C18" s="10" t="s">
        <v>438</v>
      </c>
      <c r="D18" s="10" t="s">
        <v>74</v>
      </c>
      <c r="E18" s="10" t="s">
        <v>439</v>
      </c>
      <c r="F18" s="10" t="s">
        <v>440</v>
      </c>
      <c r="G18" s="9">
        <v>3.7490000000000001</v>
      </c>
    </row>
    <row r="19" spans="2:7" s="1" customFormat="1" ht="18" customHeight="1" x14ac:dyDescent="0.2">
      <c r="B19" s="10" t="s">
        <v>455</v>
      </c>
      <c r="C19" s="10" t="s">
        <v>438</v>
      </c>
      <c r="D19" s="10" t="s">
        <v>74</v>
      </c>
      <c r="E19" s="10" t="s">
        <v>439</v>
      </c>
      <c r="F19" s="10" t="s">
        <v>440</v>
      </c>
      <c r="G19" s="9">
        <v>3.7440000000000002</v>
      </c>
    </row>
    <row r="20" spans="2:7" s="1" customFormat="1" ht="18" customHeight="1" x14ac:dyDescent="0.2">
      <c r="B20" s="10" t="s">
        <v>78</v>
      </c>
      <c r="C20" s="10" t="s">
        <v>438</v>
      </c>
      <c r="D20" s="10" t="s">
        <v>74</v>
      </c>
      <c r="E20" s="10" t="s">
        <v>439</v>
      </c>
      <c r="F20" s="10" t="s">
        <v>440</v>
      </c>
      <c r="G20" s="9">
        <v>3.702</v>
      </c>
    </row>
    <row r="21" spans="2:7" s="1" customFormat="1" ht="18" customHeight="1" x14ac:dyDescent="0.2">
      <c r="B21" s="10" t="s">
        <v>456</v>
      </c>
      <c r="C21" s="10" t="s">
        <v>438</v>
      </c>
      <c r="D21" s="10" t="s">
        <v>74</v>
      </c>
      <c r="E21" s="10" t="s">
        <v>439</v>
      </c>
      <c r="F21" s="10" t="s">
        <v>440</v>
      </c>
      <c r="G21" s="9">
        <v>3.702</v>
      </c>
    </row>
    <row r="22" spans="2:7" s="1" customFormat="1" ht="18" customHeight="1" x14ac:dyDescent="0.2">
      <c r="B22" s="10" t="s">
        <v>84</v>
      </c>
      <c r="C22" s="10" t="s">
        <v>438</v>
      </c>
      <c r="D22" s="10" t="s">
        <v>74</v>
      </c>
      <c r="E22" s="10" t="s">
        <v>439</v>
      </c>
      <c r="F22" s="10" t="s">
        <v>440</v>
      </c>
      <c r="G22" s="9">
        <v>3.702</v>
      </c>
    </row>
    <row r="23" spans="2:7" s="1" customFormat="1" ht="18" customHeight="1" x14ac:dyDescent="0.2">
      <c r="B23" s="10" t="s">
        <v>457</v>
      </c>
      <c r="C23" s="10" t="s">
        <v>438</v>
      </c>
      <c r="D23" s="10" t="s">
        <v>74</v>
      </c>
      <c r="E23" s="10" t="s">
        <v>439</v>
      </c>
      <c r="F23" s="10" t="s">
        <v>440</v>
      </c>
      <c r="G23" s="9">
        <v>3.7010000000000001</v>
      </c>
    </row>
    <row r="24" spans="2:7" s="1" customFormat="1" ht="18" customHeight="1" x14ac:dyDescent="0.2">
      <c r="B24" s="10" t="s">
        <v>201</v>
      </c>
      <c r="C24" s="10" t="s">
        <v>438</v>
      </c>
      <c r="D24" s="10" t="s">
        <v>74</v>
      </c>
      <c r="E24" s="10" t="s">
        <v>439</v>
      </c>
      <c r="F24" s="10" t="s">
        <v>440</v>
      </c>
      <c r="G24" s="9">
        <v>3.7010000000000001</v>
      </c>
    </row>
    <row r="25" spans="2:7" s="1" customFormat="1" ht="18" customHeight="1" x14ac:dyDescent="0.2">
      <c r="B25" s="10" t="s">
        <v>458</v>
      </c>
      <c r="C25" s="10" t="s">
        <v>438</v>
      </c>
      <c r="D25" s="10" t="s">
        <v>74</v>
      </c>
      <c r="E25" s="10" t="s">
        <v>439</v>
      </c>
      <c r="F25" s="10" t="s">
        <v>440</v>
      </c>
      <c r="G25" s="9">
        <v>3.7240000000000002</v>
      </c>
    </row>
    <row r="26" spans="2:7" s="1" customFormat="1" ht="18" customHeight="1" x14ac:dyDescent="0.2">
      <c r="B26" s="10" t="s">
        <v>459</v>
      </c>
      <c r="C26" s="10" t="s">
        <v>438</v>
      </c>
      <c r="D26" s="10" t="s">
        <v>74</v>
      </c>
      <c r="E26" s="10" t="s">
        <v>439</v>
      </c>
      <c r="F26" s="10" t="s">
        <v>440</v>
      </c>
      <c r="G26" s="9">
        <v>3.7450000000000001</v>
      </c>
    </row>
    <row r="27" spans="2:7" s="1" customFormat="1" ht="18" customHeight="1" x14ac:dyDescent="0.2">
      <c r="B27" s="10" t="s">
        <v>460</v>
      </c>
      <c r="C27" s="10" t="s">
        <v>438</v>
      </c>
      <c r="D27" s="10" t="s">
        <v>74</v>
      </c>
      <c r="E27" s="10" t="s">
        <v>439</v>
      </c>
      <c r="F27" s="10" t="s">
        <v>440</v>
      </c>
      <c r="G27" s="9">
        <v>3.7559999999999998</v>
      </c>
    </row>
    <row r="28" spans="2:7" s="1" customFormat="1" ht="18" customHeight="1" x14ac:dyDescent="0.2">
      <c r="B28" s="10" t="s">
        <v>461</v>
      </c>
      <c r="C28" s="10" t="s">
        <v>438</v>
      </c>
      <c r="D28" s="10" t="s">
        <v>74</v>
      </c>
      <c r="E28" s="10" t="s">
        <v>439</v>
      </c>
      <c r="F28" s="10" t="s">
        <v>440</v>
      </c>
      <c r="G28" s="9">
        <v>3.7559999999999998</v>
      </c>
    </row>
    <row r="29" spans="2:7" s="1" customFormat="1" ht="18" customHeight="1" x14ac:dyDescent="0.2">
      <c r="B29" s="10" t="s">
        <v>462</v>
      </c>
      <c r="C29" s="10" t="s">
        <v>438</v>
      </c>
      <c r="D29" s="10" t="s">
        <v>74</v>
      </c>
      <c r="E29" s="10" t="s">
        <v>439</v>
      </c>
      <c r="F29" s="10" t="s">
        <v>440</v>
      </c>
      <c r="G29" s="9">
        <v>3.7559999999999998</v>
      </c>
    </row>
    <row r="30" spans="2:7" s="1" customFormat="1" ht="18" customHeight="1" x14ac:dyDescent="0.2">
      <c r="B30" s="10" t="s">
        <v>67</v>
      </c>
      <c r="C30" s="10" t="s">
        <v>438</v>
      </c>
      <c r="D30" s="10" t="s">
        <v>74</v>
      </c>
      <c r="E30" s="10" t="s">
        <v>439</v>
      </c>
      <c r="F30" s="10" t="s">
        <v>440</v>
      </c>
      <c r="G30" s="9">
        <v>0</v>
      </c>
    </row>
    <row r="31" spans="2:7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X7" sqref="X7"/>
    </sheetView>
  </sheetViews>
  <sheetFormatPr defaultRowHeight="12.75" x14ac:dyDescent="0.2"/>
  <cols>
    <col min="1" max="1" width="4.7109375" customWidth="1"/>
  </cols>
  <sheetData>
    <row r="1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Sheet1</vt:lpstr>
      <vt:lpstr>CALCULATE (2)</vt:lpstr>
      <vt:lpstr>CALCULATE</vt:lpstr>
      <vt:lpstr>SELLOUT</vt:lpstr>
      <vt:lpstr>SELLIN</vt:lpstr>
      <vt:lpstr>MIX_DETAIL</vt:lpstr>
      <vt:lpstr>SPMS</vt:lpstr>
      <vt:lpstr>CLIENTE</vt:lpstr>
      <vt:lpstr>TP</vt:lpstr>
      <vt:lpstr>CORREO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DEL MILAGRO CARRASCO SANTOS/LGEPR Sales Administration(rocio.carrasco@lge.com)</dc:creator>
  <cp:lastModifiedBy>rocio.carrasco</cp:lastModifiedBy>
  <dcterms:created xsi:type="dcterms:W3CDTF">2024-04-29T20:51:37Z</dcterms:created>
  <dcterms:modified xsi:type="dcterms:W3CDTF">2024-05-31T15:41:06Z</dcterms:modified>
</cp:coreProperties>
</file>